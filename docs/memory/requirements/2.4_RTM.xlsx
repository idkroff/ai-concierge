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TM" sheetId="1" r:id="rId1"/>
    <sheet name="Тест-кейсы" sheetId="2" r:id="rId2"/>
    <sheet name="US → SRS" sheetId="3" r:id="rId3"/>
    <sheet name="Бизнес-цели" sheetId="4" r:id="rId4"/>
    <sheet name="Метрики" sheetId="5" r:id="rId5"/>
    <sheet name="Полнота" sheetId="6" r:id="rId6"/>
  </sheets>
  <definedNames>
    <definedName name="_xlnm._FilterDatabase" localSheetId="0" hidden="1">RTM!$A$1:$K$32</definedName>
    <definedName name="_xlnm._FilterDatabase" localSheetId="2" hidden="1">'US → SRS'!$A$1:$F$18</definedName>
    <definedName name="_xlnm._FilterDatabase" localSheetId="3" hidden="1">'Бизнес-цели'!$A$1:$D$5</definedName>
    <definedName name="_xlnm._FilterDatabase" localSheetId="4" hidden="1">Метрики!$A$1:$H$8</definedName>
    <definedName name="_xlnm._FilterDatabase" localSheetId="1" hidden="1">'Тест-кейсы'!$A$1:$H$39</definedName>
  </definedNames>
  <calcPr calcId="124519" fullCalcOnLoad="1"/>
</workbook>
</file>

<file path=xl/sharedStrings.xml><?xml version="1.0" encoding="utf-8"?>
<sst xmlns="http://schemas.openxmlformats.org/spreadsheetml/2006/main" count="762" uniqueCount="452">
  <si>
    <t>ID требования</t>
  </si>
  <si>
    <t>Тип</t>
  </si>
  <si>
    <t>Требование (SRS)</t>
  </si>
  <si>
    <t>Пр.</t>
  </si>
  <si>
    <t>↑ Бизнес-цель (PRD)</t>
  </si>
  <si>
    <t>↑ Метрика (PRD)</t>
  </si>
  <si>
    <t>↑ User Story</t>
  </si>
  <si>
    <t>↑ Критерий приёмки</t>
  </si>
  <si>
    <t>↓ Тест-кейсы</t>
  </si>
  <si>
    <t>Статус теста (план)</t>
  </si>
  <si>
    <t>Проверка</t>
  </si>
  <si>
    <t>FR-01</t>
  </si>
  <si>
    <t>FR</t>
  </si>
  <si>
    <t>После звонка бот сохраняет бронь; статус зависит от итога звонка</t>
  </si>
  <si>
    <t>M</t>
  </si>
  <si>
    <t>BG-1</t>
  </si>
  <si>
    <t>M-1</t>
  </si>
  <si>
    <t>US-03</t>
  </si>
  <si>
    <t>AC-03.1</t>
  </si>
  <si>
    <t>TC-01, TC-05</t>
  </si>
  <si>
    <t>Запланирован</t>
  </si>
  <si>
    <t>FR-02</t>
  </si>
  <si>
    <t>Каждая попытка переноса или отмены записывается в историю брони</t>
  </si>
  <si>
    <t>BG-3</t>
  </si>
  <si>
    <t>G-1</t>
  </si>
  <si>
    <t>US-09</t>
  </si>
  <si>
    <t>AC-09.1</t>
  </si>
  <si>
    <t>TC-02, TC-15</t>
  </si>
  <si>
    <t>FR-03</t>
  </si>
  <si>
    <t>/bookings показывает активные брони по дате с кнопкой «Подробнее»</t>
  </si>
  <si>
    <t>US-08</t>
  </si>
  <si>
    <t>AC-08.1, AC-08.2</t>
  </si>
  <si>
    <t>TC-03</t>
  </si>
  <si>
    <t>FR-04</t>
  </si>
  <si>
    <t>«Подробнее» открывает карточку брони с историей, новые записи сверху</t>
  </si>
  <si>
    <t>TC-04</t>
  </si>
  <si>
    <t>FR-05</t>
  </si>
  <si>
    <t>«Как в прошлый раз» подставляет ресторан, телефон и гостей из прошлой брони</t>
  </si>
  <si>
    <t>M-1, P-1</t>
  </si>
  <si>
    <t>AC-03.1, AC-03.2, AC-03.3</t>
  </si>
  <si>
    <t>TC-05, TC-06, TC-07</t>
  </si>
  <si>
    <t>FR-06</t>
  </si>
  <si>
    <t>Бот находит нужную бронь по фразе (4 ветки)</t>
  </si>
  <si>
    <t>US-01, US-02</t>
  </si>
  <si>
    <t>AC-01.1, AC-02.1</t>
  </si>
  <si>
    <t>TC-08, TC-11, TC-13, TC-14, TC-15, TC-34</t>
  </si>
  <si>
    <t>FR-07</t>
  </si>
  <si>
    <t>Если подходит несколько броней, бот даёт выбрать кнопками и не звонит</t>
  </si>
  <si>
    <t>US-04</t>
  </si>
  <si>
    <t>AC-04.1, AC-04.2</t>
  </si>
  <si>
    <t>TC-11, TC-12</t>
  </si>
  <si>
    <t>FR-08</t>
  </si>
  <si>
    <t>На прошедшую бронь бот отвечает по шаблону и не звонит</t>
  </si>
  <si>
    <t>US-06</t>
  </si>
  <si>
    <t>AC-06.1</t>
  </si>
  <si>
    <t>TC-13</t>
  </si>
  <si>
    <t>FR-09</t>
  </si>
  <si>
    <t>Если брони нет, бот отвечает по шаблону и не звонит</t>
  </si>
  <si>
    <t>US-07</t>
  </si>
  <si>
    <t>AC-07.1, AC-07.2</t>
  </si>
  <si>
    <t>TC-14, TC-33</t>
  </si>
  <si>
    <t>FR-10</t>
  </si>
  <si>
    <t>Перенос: экран «было → станет», звонок только после «Подтвердить»</t>
  </si>
  <si>
    <t>BG-1, BG-3, BG-4</t>
  </si>
  <si>
    <t>M-1, P-1, G-1, G-3</t>
  </si>
  <si>
    <t>US-01</t>
  </si>
  <si>
    <t>AC-01.1, AC-01.2, AC-01.3</t>
  </si>
  <si>
    <t>TC-08, TC-09, TC-10</t>
  </si>
  <si>
    <t>FR-11</t>
  </si>
  <si>
    <t>Отмена: экран подтверждения, звонок, статус «отменена»</t>
  </si>
  <si>
    <t>BG-1, BG-4</t>
  </si>
  <si>
    <t>M-1, P-1, G-3</t>
  </si>
  <si>
    <t>US-02</t>
  </si>
  <si>
    <t>AC-02.1, AC-02.2, AC-02.3</t>
  </si>
  <si>
    <t>TC-15, TC-16</t>
  </si>
  <si>
    <t>FR-12</t>
  </si>
  <si>
    <t>Если ресторан не согласился, бронь не меняется, пользователь получает причину</t>
  </si>
  <si>
    <t>US-05</t>
  </si>
  <si>
    <t>AC-05.1, AC-05.2, AC-05.3</t>
  </si>
  <si>
    <t>TC-17, TC-18, TC-19</t>
  </si>
  <si>
    <t>FR-13</t>
  </si>
  <si>
    <t>Бот извлекает постоянные пожелания 4 категорий; разовые, о здоровье и о других людях — нет</t>
  </si>
  <si>
    <t>BG-2</t>
  </si>
  <si>
    <t>P-2</t>
  </si>
  <si>
    <t>US-11</t>
  </si>
  <si>
    <t>AC-11.1, AC-11.2</t>
  </si>
  <si>
    <t>TC-20, TC-21, TC-35</t>
  </si>
  <si>
    <t>FR-14</t>
  </si>
  <si>
    <t>Факт сохраняется без вопроса; «Запомнил» с кнопкой «Забыть»</t>
  </si>
  <si>
    <t>BG-2, BG-3</t>
  </si>
  <si>
    <t>P-2, G-2</t>
  </si>
  <si>
    <t>US-11, US-12</t>
  </si>
  <si>
    <t>AC-11.1, AC-12.1</t>
  </si>
  <si>
    <t>TC-20, TC-22</t>
  </si>
  <si>
    <t>FR-15</t>
  </si>
  <si>
    <t>Дубли не создаются; новое значение в зале, столе, времени заменяет старое</t>
  </si>
  <si>
    <t>US-13</t>
  </si>
  <si>
    <t>AC-13.1, AC-13.2</t>
  </si>
  <si>
    <t>TC-23</t>
  </si>
  <si>
    <t>FR-16</t>
  </si>
  <si>
    <t>Пожелания подставляются в новую бронь; «Убрать» — только для этой брони</t>
  </si>
  <si>
    <t>BG-2, BG-4</t>
  </si>
  <si>
    <t>P-2, G-3</t>
  </si>
  <si>
    <t>US-10</t>
  </si>
  <si>
    <t>AC-10.1, AC-10.2</t>
  </si>
  <si>
    <t>TC-24</t>
  </si>
  <si>
    <t>FR-17</t>
  </si>
  <si>
    <t>/memory показывает факты с категорией, датой и источником</t>
  </si>
  <si>
    <t>G-2</t>
  </si>
  <si>
    <t>US-14</t>
  </si>
  <si>
    <t>AC-14.1, AC-14.2</t>
  </si>
  <si>
    <t>TC-25</t>
  </si>
  <si>
    <t>FR-18</t>
  </si>
  <si>
    <t>Факт можно исправить или удалить вместе с версиями</t>
  </si>
  <si>
    <t>US-15, US-16</t>
  </si>
  <si>
    <t>AC-15.1, AC-16.1</t>
  </si>
  <si>
    <t>TC-26</t>
  </si>
  <si>
    <t>FR-19</t>
  </si>
  <si>
    <t>/forget предупреждает и стирает всё о пользователе</t>
  </si>
  <si>
    <t>US-17</t>
  </si>
  <si>
    <t>AC-17.1, AC-17.2, AC-17.3</t>
  </si>
  <si>
    <t>TC-27</t>
  </si>
  <si>
    <t>FR-20</t>
  </si>
  <si>
    <t>У каждого факта хранятся источник и дата</t>
  </si>
  <si>
    <t>AC-14.1</t>
  </si>
  <si>
    <t>TC-25, TC-28</t>
  </si>
  <si>
    <t>FR-21</t>
  </si>
  <si>
    <t>Любой звонок списывает 1 из 3 звонков дневного лимита; при нуле бот не звонит</t>
  </si>
  <si>
    <t>BG-4</t>
  </si>
  <si>
    <t>—</t>
  </si>
  <si>
    <t>— (BG-4)</t>
  </si>
  <si>
    <t>TC-29</t>
  </si>
  <si>
    <t>FR-22</t>
  </si>
  <si>
    <t>События для метрик: тип поручения, вид ответа, назначение LLM-вызова</t>
  </si>
  <si>
    <t>BG-1, BG-2, BG-3, BG-4</t>
  </si>
  <si>
    <t>M-1, P-1, P-2, G-1, G-2, G-3, G-4</t>
  </si>
  <si>
    <t>— (BG-1 … BG-4)</t>
  </si>
  <si>
    <t>TC-30</t>
  </si>
  <si>
    <t>NFR-01</t>
  </si>
  <si>
    <t>NFR</t>
  </si>
  <si>
    <t>Экран подтверждения за ≤ 3 с в 95% случаев; остальные ответы медленнее не больше чем на 300 мс</t>
  </si>
  <si>
    <t>G-4</t>
  </si>
  <si>
    <t>TC-31</t>
  </si>
  <si>
    <t>NFR-02</t>
  </si>
  <si>
    <t>Данные переживают перезапуск; при сбое LLM или YDB команды памяти получают ответ за ≤ 10 с без звонка</t>
  </si>
  <si>
    <t>TC-32</t>
  </si>
  <si>
    <t>NFR-03</t>
  </si>
  <si>
    <t>Пользователь видит и меняет только свои данные, в том числе через кнопки</t>
  </si>
  <si>
    <t>AC-07.2</t>
  </si>
  <si>
    <t>TC-33</t>
  </si>
  <si>
    <t>NFR-04</t>
  </si>
  <si>
    <t>После очистки данные недоступны через 5 с и физически удалены через ≤ 24 ч</t>
  </si>
  <si>
    <t>AC-17.2</t>
  </si>
  <si>
    <t>NFR-05</t>
  </si>
  <si>
    <t>Нужная бронь выбирается верно в ≥ 90% из 50 эталонных фраз, без звонков без подтверждения</t>
  </si>
  <si>
    <t>AC-04.1</t>
  </si>
  <si>
    <t>TC-34</t>
  </si>
  <si>
    <t>NFR-06</t>
  </si>
  <si>
    <t>Извлечение пожеланий: precision ≥ 90%, recall ≥ 70% на 100 сообщениях</t>
  </si>
  <si>
    <t>TC-35</t>
  </si>
  <si>
    <t>NFR-07</t>
  </si>
  <si>
    <t>Не больше 1 фонового LLM-вызова памяти на сообщение</t>
  </si>
  <si>
    <t>TC-36</t>
  </si>
  <si>
    <t>NFR-08</t>
  </si>
  <si>
    <t>Поиск при 100 бронях и 50 фактах ≤ 500 мс в 95% случаев</t>
  </si>
  <si>
    <t>S</t>
  </si>
  <si>
    <t>TC-37</t>
  </si>
  <si>
    <t>NFR-09</t>
  </si>
  <si>
    <t>Данные в ru-central1 с шифрованием; администратор не читает таблицы памяти</t>
  </si>
  <si>
    <t>— (BG-3, ограничение C-4)</t>
  </si>
  <si>
    <t>TC-38</t>
  </si>
  <si>
    <t>ID теста</t>
  </si>
  <si>
    <t>Название</t>
  </si>
  <si>
    <t>Предусловия</t>
  </si>
  <si>
    <t>Шаги</t>
  </si>
  <si>
    <t>Ожидаемый результат</t>
  </si>
  <si>
    <t>↑ Требования</t>
  </si>
  <si>
    <t>TC-01</t>
  </si>
  <si>
    <t>Бронь и статус по итогу звонка</t>
  </si>
  <si>
    <t>Пользователь зарегистрирован, лимит сброшен перед каждой серией</t>
  </si>
  <si>
    <t>20 звонков по новой брони, по 5 на исход: согласие, отказ, timeout / обрыв, cancelled</t>
  </si>
  <si>
    <t>Для первых трёх исходов — по одной новой брони со статусом «подтверждена» / «отклонена» / «не дозвонились», поля, кроме пожеланий, заполнены; для cancelled новых броней 0</t>
  </si>
  <si>
    <t>TC-02</t>
  </si>
  <si>
    <t>История хранится</t>
  </si>
  <si>
    <t>Бронь на 19:00 подтверждена</t>
  </si>
  <si>
    <t>Перенос на 20:00, ресторан согласен</t>
  </si>
  <si>
    <t>В истории запись 19:00 → 20:00 с временем и итогом; старые записи не изменились</t>
  </si>
  <si>
    <t>Список /bookings</t>
  </si>
  <si>
    <t>3 активные, 1 прошедшая, 1 отменённая бронь; второй пользователь без броней</t>
  </si>
  <si>
    <t>Отправить /bookings от обоих</t>
  </si>
  <si>
    <t>3 брони по возрастанию даты, с датой, временем, гостями, статусом и «Подробнее»; у второго — «Активных броней нет»</t>
  </si>
  <si>
    <t>Карточка с историей</t>
  </si>
  <si>
    <t>Бронь переносили 19:00 → 20:00, потом 20:00 → 21:00</t>
  </si>
  <si>
    <t>В /bookings нажать «Подробнее»</t>
  </si>
  <si>
    <t>Две записи, первой идёт «20:00 → 21:00»; у каждой дата изменения и итог звонка</t>
  </si>
  <si>
    <t>TC-05</t>
  </si>
  <si>
    <t>«Как в прошлый раз»: подстановка</t>
  </si>
  <si>
    <t>Прошлая бронь в «Пушкин» на 2 гостей</t>
  </si>
  <si>
    <t>«забронируй как в прошлый раз в Пушкине на пятницу в 19:00» → «Подтвердить», ресторан согласен</t>
  </si>
  <si>
    <t>На экране ресторан, телефон, 2 гостя, вопросов о них нет; после звонка в YDB новая бронь со статусом «подтверждена»</t>
  </si>
  <si>
    <t>FR-05, FR-01</t>
  </si>
  <si>
    <t>TC-06</t>
  </si>
  <si>
    <t>«Как в прошлый раз»: без времени</t>
  </si>
  <si>
    <t>То же + факт «время: 19:00»; второй пользователь с той же прошлой бронью без факта</t>
  </si>
  <si>
    <t>«забронируй как в прошлый раз в Пушкине на пятницу»; от второго — «как в прошлый раз в Пушкине»</t>
  </si>
  <si>
    <t>Первому — вопрос «На какое время?» и кнопка «19:00»; второму — вопрос о дате, затем о времени без кнопки</t>
  </si>
  <si>
    <t>AC-03.2</t>
  </si>
  <si>
    <t>TC-07</t>
  </si>
  <si>
    <t>«Как в прошлый раз»: нет истории</t>
  </si>
  <si>
    <t>В «Кафе Z» броней не было</t>
  </si>
  <si>
    <t>«как в прошлый раз в Кафе Z»</t>
  </si>
  <si>
    <t>«Не нашёл прошлых броней в „Кафе Z“. Напишите, когда и на сколько человек бронировать»; звонков 0</t>
  </si>
  <si>
    <t>AC-03.3</t>
  </si>
  <si>
    <t>TC-08</t>
  </si>
  <si>
    <t>Перенос: экран «было → станет»</t>
  </si>
  <si>
    <t>Одна активная бронь 03.10 19:00 на 2, «тихий зал»</t>
  </si>
  <si>
    <t>«перенеси встречу в ресторане на час позже»</t>
  </si>
  <si>
    <t>«19:00 → 20:00, 03.10, 2 гостя, тихий зал», кнопки «Подтвердить» / «Не менять»; звонков 0</t>
  </si>
  <si>
    <t>FR-06, FR-10</t>
  </si>
  <si>
    <t>AC-01.1</t>
  </si>
  <si>
    <t>TC-09</t>
  </si>
  <si>
    <t>Перенос: подтверждение</t>
  </si>
  <si>
    <t>Экран из TC-08</t>
  </si>
  <si>
    <t>«Подтвердить», ресторан согласен</t>
  </si>
  <si>
    <t>1 звонок; бронь на 20:00; пользователь получил обновлённую карточку</t>
  </si>
  <si>
    <t>AC-01.2</t>
  </si>
  <si>
    <t>TC-10</t>
  </si>
  <si>
    <t>Перенос: «Не менять»</t>
  </si>
  <si>
    <t>Нажать «Не менять»</t>
  </si>
  <si>
    <t>Звонков 0, бронь та же</t>
  </si>
  <si>
    <t>AC-01.3</t>
  </si>
  <si>
    <t>TC-11</t>
  </si>
  <si>
    <t>Несколько броней: кнопки</t>
  </si>
  <si>
    <t>Две активные брони на субботу</t>
  </si>
  <si>
    <t>«перенеси субботнюю бронь на 21:00»</t>
  </si>
  <si>
    <t>«Какую бронь?» и 2 кнопки; звонков 0</t>
  </si>
  <si>
    <t>FR-06, FR-07</t>
  </si>
  <si>
    <t>TC-12</t>
  </si>
  <si>
    <t>Несколько броней: выбор</t>
  </si>
  <si>
    <t>Кнопки из TC-11</t>
  </si>
  <si>
    <t>Нажать вторую бронь</t>
  </si>
  <si>
    <t>Экран переноса именно второй брони</t>
  </si>
  <si>
    <t>AC-04.2</t>
  </si>
  <si>
    <t>Прошедшая бронь</t>
  </si>
  <si>
    <t>Бронь в «Пушкин» была вчера</t>
  </si>
  <si>
    <t>Попросить её перенести</t>
  </si>
  <si>
    <t>Ответ по шаблону FR-08; звонков 0; лимит не изменился</t>
  </si>
  <si>
    <t>FR-06, FR-08</t>
  </si>
  <si>
    <t>TC-14</t>
  </si>
  <si>
    <t>Брони нет</t>
  </si>
  <si>
    <t>Бронь в «Сыроварне» сделана без бота; бронь в «Пушкин» уже отменена</t>
  </si>
  <si>
    <t>«отмени бронь в Сыроварне»; «перенеси бронь в Пушкине»</t>
  </si>
  <si>
    <t>В обоих случаях ответ по шаблону FR-09; звонков 0; лимит не изменился</t>
  </si>
  <si>
    <t>FR-06, FR-09</t>
  </si>
  <si>
    <t>AC-07.1</t>
  </si>
  <si>
    <t>TC-15</t>
  </si>
  <si>
    <t>Отмена: подтверждение</t>
  </si>
  <si>
    <t>Одна активная бронь на завтра</t>
  </si>
  <si>
    <t>«отмени завтрашнюю бронь» → «Подтвердить», ресторан согласен</t>
  </si>
  <si>
    <t>Экран с параметрами и кнопками «Подтвердить» / «Не менять»; «Бронь отменена»; статус «отменена»; в /bookings её нет; в истории запись об успешной отмене</t>
  </si>
  <si>
    <t>FR-06, FR-11, FR-02</t>
  </si>
  <si>
    <t>AC-02.1, AC-02.2</t>
  </si>
  <si>
    <t>TC-16</t>
  </si>
  <si>
    <t>Отмена: «Не менять»</t>
  </si>
  <si>
    <t>Экран отмены</t>
  </si>
  <si>
    <t>Звонков 0; статус «подтверждена»</t>
  </si>
  <si>
    <t>AC-02.3</t>
  </si>
  <si>
    <t>TC-17</t>
  </si>
  <si>
    <t>Перенос: ресторан не ответил</t>
  </si>
  <si>
    <t>Перенос 19:00 → 20:00 подтверждён</t>
  </si>
  <si>
    <t>Эмулировать timeout</t>
  </si>
  <si>
    <t>«Перенос не подтверждён: ресторан не ответил»; бронь на 19:00; в истории неудачная попытка</t>
  </si>
  <si>
    <t>AC-05.1</t>
  </si>
  <si>
    <t>TC-18</t>
  </si>
  <si>
    <t>Перенос: отказ или обрыв</t>
  </si>
  <si>
    <t>То же</t>
  </si>
  <si>
    <t>1) ресторан говорит, что на 20:00 мест нет; 2) разговор обрывается до согласия</t>
  </si>
  <si>
    <t>1) «Перенос не подтверждён: ресторан отказал (…)», в скобках непустая причина; 2) «Перенос не подтверждён: разговор прервался»; в обоих случаях бронь на 19:00, в истории неудачная попытка</t>
  </si>
  <si>
    <t>AC-05.2</t>
  </si>
  <si>
    <t>TC-19</t>
  </si>
  <si>
    <t>Отмена не подтверждена</t>
  </si>
  <si>
    <t>Отмена подтверждена пользователем</t>
  </si>
  <si>
    <t>Три прогона: timeout; отказ ресторана; обрыв разговора</t>
  </si>
  <si>
    <t>«Отмена не подтверждена: ресторан не ответил» / «…: ресторан отказал (…)» / «…: разговор прервался»; статус «подтверждена»; в истории неудачные попытки</t>
  </si>
  <si>
    <t>AC-05.3</t>
  </si>
  <si>
    <t>TC-20</t>
  </si>
  <si>
    <t>Автозапоминание</t>
  </si>
  <si>
    <t>Память пустая</t>
  </si>
  <si>
    <t>Написать «я всегда прошу тихий зал»</t>
  </si>
  <si>
    <t>Вопросов нет; «Запомнил: тихий зал» с кнопкой «Забыть»; в /memory факт категории «зал»</t>
  </si>
  <si>
    <t>FR-13, FR-14</t>
  </si>
  <si>
    <t>AC-11.1</t>
  </si>
  <si>
    <t>TC-21</t>
  </si>
  <si>
    <t>Разовое пожелание и здоровье</t>
  </si>
  <si>
    <t>Написать «в этот раз посадите на веранду», затем «у меня аллергия на орехи»</t>
  </si>
  <si>
    <t>Фактов 0, сообщений «Запомнил» нет</t>
  </si>
  <si>
    <t>AC-11.2</t>
  </si>
  <si>
    <t>TC-22</t>
  </si>
  <si>
    <t>Кнопка «Забыть»</t>
  </si>
  <si>
    <t>1) уведомление из TC-20; 2) факт «тихий зал» заменён на «веранда»</t>
  </si>
  <si>
    <t>Нажать «Забыть»; поручить бронь</t>
  </si>
  <si>
    <t>1) факта нет в /memory и в контексте звонка; 2) активен снова «тихий зал»</t>
  </si>
  <si>
    <t>AC-12.1</t>
  </si>
  <si>
    <t>Дубли и версии</t>
  </si>
  <si>
    <t>Факт «тихий зал»</t>
  </si>
  <si>
    <t>«люблю тихий зал»; затем «теперь всегда хочу на веранду»</t>
  </si>
  <si>
    <t>После первого число фактов то же, «Запомнил» нет; после второго активна версия 2 «веранда», версия 1 в истории</t>
  </si>
  <si>
    <t>Подстановка и «Убрать»</t>
  </si>
  <si>
    <t>Поручить бронь; проверить экран и контекст звонка; повторить с «Убрать тихий зал»</t>
  </si>
  <si>
    <t>«Учту: тихий зал» и пожелание в контексте; после «Убрать» в контексте его нет, в /memory он есть</t>
  </si>
  <si>
    <t>Просмотр /memory</t>
  </si>
  <si>
    <t>2 факта, один из сообщения длиной 150 символов; второй пользователь без фактов</t>
  </si>
  <si>
    <t>Отправить /memory от обоих</t>
  </si>
  <si>
    <t>2 факта с категорией, датой и источником, как в YDB; длинная цитата обрезана до 100 символов с «…»; у второго — «Я пока ничего о вас не запомнил»</t>
  </si>
  <si>
    <t>FR-17, FR-20</t>
  </si>
  <si>
    <t>Исправить и удалить</t>
  </si>
  <si>
    <t>Факты «тихий зал» и «грузинская кухня»</t>
  </si>
  <si>
    <t>«Исправить» «тихий зал» → «второй этаж»; «Удалить» «грузинская кухня»; поручить бронь</t>
  </si>
  <si>
    <t>Показан «второй этаж» с источником «исправлено вручную»; «грузинской кухни» и её версий нет в YDB, в бронь она не подставляется</t>
  </si>
  <si>
    <t>/forget</t>
  </si>
  <si>
    <t>Есть факты и 1 активная бронь</t>
  </si>
  <si>
    <t>/forget → «Не удалять»; /forget → «Удалить всё»; через 5 с /memory и /bookings; поручить новую бронь; через 24 ч SQL по таблицам и логам</t>
  </si>
  <si>
    <t>Предупреждение с N = 1; после «Не удалять» всё на месте; через 5 с после «Удалить всё» пусто; на экране новой брони нет «Учту», контекст звонка без пожеланий; через 24 ч 0 строк с user_id в бронях, истории, фактах, эмбеддингах, транскриптах; в логах исходного user_id нет</t>
  </si>
  <si>
    <t>FR-19, NFR-04</t>
  </si>
  <si>
    <t>TC-28</t>
  </si>
  <si>
    <t>Источник у фактов</t>
  </si>
  <si>
    <t>20 фактов из сообщений и ручных исправлений</t>
  </si>
  <si>
    <t>SQL-проверка source_ref и created_at</t>
  </si>
  <si>
    <t>Поля заполнены у 20 из 20</t>
  </si>
  <si>
    <t>Лимит звонков</t>
  </si>
  <si>
    <t>Лимит сброшен</t>
  </si>
  <si>
    <t>Новая бронь, перенос с итогом timeout, отмена; затем ещё перенос; отдельно — запрос по прошедшей брони при лимите 1</t>
  </si>
  <si>
    <t>После трёх звонков — «Достигнут дневной лимит звонков (3). Попробуйте завтра», звонков 0; ответ FR-08 счётчик не меняет</t>
  </si>
  <si>
    <t>События для метрик</t>
  </si>
  <si>
    <t>Логирование включено</t>
  </si>
  <si>
    <t>Пройти перенос, бронь с пожеланием, «Забыть», /forget; посчитать метрики по логам</t>
  </si>
  <si>
    <t>Порядок message_received → task_started → task_confirmed → call_started → call_result; у всех user_id, task_id, task_type, время; есть вид ответа и назначение LLM-вызова; M-1, P-1, P-2, G-2, G-3 и p95 экрана считаются; «call_started без task_confirmed» — 0 строк</t>
  </si>
  <si>
    <t>Нагрузка</t>
  </si>
  <si>
    <t>Стенд, 20 тестовых пользователей</t>
  </si>
  <si>
    <t>20 параллельных пользователей × 10 команд, прогон с фичей и без</t>
  </si>
  <si>
    <t>p95 экрана подтверждения ≤ 3 с; p95 остальных ответов с фичей ≤ без фичи + 300 мс</t>
  </si>
  <si>
    <t>Перезапуск и сбои</t>
  </si>
  <si>
    <t>100 тестовых броней и фактов</t>
  </si>
  <si>
    <t>Перезапустить под tg_bot; затем отключить LLM, потом YDB, и попросить перенос</t>
  </si>
  <si>
    <t>100 из 100 записей на месте; при сбое «Память временно недоступна, попробуйте позже» за ≤ 10 с, звонков 0</t>
  </si>
  <si>
    <t>Изоляция пользователей</t>
  </si>
  <si>
    <t>Бронь в «Пушкин» и факты есть только у A</t>
  </si>
  <si>
    <t>B пишет «отмени бронь в Пушкине» (5 вариантов); B шлёт подменённый callback_data с ID брони и факта A на кнопки «Подробнее», «Удалить», «Исправить», «Забыть», «Подтвердить» (5 вариантов)</t>
  </si>
  <si>
    <t>Для брони — ответ по шаблону FR-09, для факта — «Такого факта нет»; данные A не показаны и не изменены в 10 из 10</t>
  </si>
  <si>
    <t>NFR-03, FR-09</t>
  </si>
  <si>
    <t>Эталон выбора брони</t>
  </si>
  <si>
    <t>50 размеченных фраз по 4 веткам FR-06</t>
  </si>
  <si>
    <t>Прогнать набор</t>
  </si>
  <si>
    <t>≥ 90% верных ответов; звонков без подтверждения 0</t>
  </si>
  <si>
    <t>NFR-05, FR-06</t>
  </si>
  <si>
    <t>Эталон извлечения</t>
  </si>
  <si>
    <t>100 размеченных сообщений, из них 20 с разовыми пожеланиями, здоровьем и другими людьми</t>
  </si>
  <si>
    <t>precision ≥ 90%, recall ≥ 70%; из этих 20 сообщений фактов 0</t>
  </si>
  <si>
    <t>NFR-06, FR-13</t>
  </si>
  <si>
    <t>Число LLM-вызовов</t>
  </si>
  <si>
    <t>Логирование llm_call</t>
  </si>
  <si>
    <t>Отправить 200 сообщений</t>
  </si>
  <si>
    <t>Вызовов с назначением «память» ≤ 1 на сообщение</t>
  </si>
  <si>
    <t>Поиск на большом профиле</t>
  </si>
  <si>
    <t>100 броней и 50 фактов у пользователя</t>
  </si>
  <si>
    <t>100 запросов поиска броней и фактов</t>
  </si>
  <si>
    <t>p95 ≤ 500 мс</t>
  </si>
  <si>
    <t>Регион и доступ</t>
  </si>
  <si>
    <t>Конфигурация Terraform и IAM</t>
  </si>
  <si>
    <t>Проверить регион и шифрование YDB; прочитать таблицы памяти под ролью администратора</t>
  </si>
  <si>
    <t>Регион ru-central1, шифрование включено; чтение — отказ в доступе</t>
  </si>
  <si>
    <t>ID истории</t>
  </si>
  <si>
    <t>История (кратко)</t>
  </si>
  <si>
    <t>↑ Бизнес-цель</t>
  </si>
  <si>
    <t>Критерии приёмки</t>
  </si>
  <si>
    <t>↓ Требования SRS</t>
  </si>
  <si>
    <t>Перенести бронь одной фразой</t>
  </si>
  <si>
    <t>Отменить бронь одной фразой</t>
  </si>
  <si>
    <t>FR-06, FR-11</t>
  </si>
  <si>
    <t>Забронировать «как в прошлый раз»</t>
  </si>
  <si>
    <t>FR-01, FR-05</t>
  </si>
  <si>
    <t>Выбрать бронь, если подходит несколько</t>
  </si>
  <si>
    <t>FR-07, NFR-05</t>
  </si>
  <si>
    <t>Узнать, что ресторан не согласился</t>
  </si>
  <si>
    <t>Не тратить звонок на прошедшую бронь</t>
  </si>
  <si>
    <t>Узнать, что такой брони у бота нет</t>
  </si>
  <si>
    <t>FR-09, NFR-03</t>
  </si>
  <si>
    <t>Посмотреть свои будущие брони</t>
  </si>
  <si>
    <t>Посмотреть историю изменений брони</t>
  </si>
  <si>
    <t>FR-02, FR-04</t>
  </si>
  <si>
    <t>Не повторять пожелания в новой брони</t>
  </si>
  <si>
    <t>Не заполнять пожелания вручную</t>
  </si>
  <si>
    <t>FR-13, FR-14, NFR-06</t>
  </si>
  <si>
    <t>US-12</t>
  </si>
  <si>
    <t>Отменить то, что бот запомнил по ошибке</t>
  </si>
  <si>
    <t>Поменять пожелание одной фразой</t>
  </si>
  <si>
    <t>Посмотреть, что бот обо мне помнит</t>
  </si>
  <si>
    <t>US-15</t>
  </si>
  <si>
    <t>Исправить запомненный факт</t>
  </si>
  <si>
    <t>AC-15.1</t>
  </si>
  <si>
    <t>US-16</t>
  </si>
  <si>
    <t>Удалить запомненный факт</t>
  </si>
  <si>
    <t>AC-16.1</t>
  </si>
  <si>
    <t>Очистить память целиком</t>
  </si>
  <si>
    <t>ID</t>
  </si>
  <si>
    <t>Бизнес-цель (PRD)</t>
  </si>
  <si>
    <t>↓ Требований со ссылкой</t>
  </si>
  <si>
    <t>Сократить время пользователя на повторное поручение: перенос, отмену, новую бронь в знакомом ресторане</t>
  </si>
  <si>
    <t>Не заставлять пользователя повторять постоянные пожелания</t>
  </si>
  <si>
    <t>Сохранить доверие: бот меняет только нужную бронь, звонит только после подтверждения, сообщает результат со слов ресторана, даёт управлять памятью</t>
  </si>
  <si>
    <t>Не ухудшить качество звонков, скорость ответа и экономику</t>
  </si>
  <si>
    <t>Метрика</t>
  </si>
  <si>
    <t>Цель</t>
  </si>
  <si>
    <t>Как измеряем</t>
  </si>
  <si>
    <t>Главная</t>
  </si>
  <si>
    <t>Медианное время на повторное поручение</t>
  </si>
  <si>
    <t>−30% к текущему боту</t>
  </si>
  <si>
    <t>Тест «до и после» на 8 респондентах, порядок ботов чередуем; в пилоте — task_started → task_confirmed для повторных поручений (FR-22)</t>
  </si>
  <si>
    <t>P-1</t>
  </si>
  <si>
    <t>Прокси</t>
  </si>
  <si>
    <t>Доля повторных поручений, запущенных за ≤ 2 текстовых сообщения</t>
  </si>
  <si>
    <t>≥ 70%</t>
  </si>
  <si>
    <t>message_received между task_started и task_confirmed, task_type = повтор / перенос / отмена (FR-22)</t>
  </si>
  <si>
    <t>Доля новых броней с подставленным и не убранным пожеланием</t>
  </si>
  <si>
    <t>≥ 60%</t>
  </si>
  <si>
    <t>preference_applied и preference_excluded, task_type = новая бронь / повтор (FR-22)</t>
  </si>
  <si>
    <t>Guardrail</t>
  </si>
  <si>
    <t>Доля ошибочных действий среди переносов и отмен</t>
  </si>
  <si>
    <t>≤ 1%; звонков без подтверждения 0</t>
  </si>
  <si>
    <t>Автоматически: call_started без task_confirmed (FR-22); вручную: разметка всех переносов и отмен в пилоте</t>
  </si>
  <si>
    <t>Доля активных пользователей, очистивших память целиком</t>
  </si>
  <si>
    <t>≤ 10% за пилот</t>
  </si>
  <si>
    <t>memory_cleared (FR-22)</t>
  </si>
  <si>
    <t>G-3</t>
  </si>
  <si>
    <t>Доля звонков с согласием ресторана</t>
  </si>
  <si>
    <t>call_result (FR-22)</t>
  </si>
  <si>
    <t>p95 экрана подтверждения; прирост p95 остальных ответов; LLM-вызовы памяти на сообщение</t>
  </si>
  <si>
    <t>≤ 3 с; ≤ +300 мс; ≤ 1</t>
  </si>
  <si>
    <t>response_latency_ms и llm_call (FR-22); прирост — нагрузочный тест TC-31; вызовы — TC-36</t>
  </si>
  <si>
    <t>Значение</t>
  </si>
  <si>
    <t>Всего требований (FR + NFR)</t>
  </si>
  <si>
    <t>Требований без источника или теста (сироты)</t>
  </si>
  <si>
    <t>Всего тест-кейсов</t>
  </si>
  <si>
    <t>Тестов, не указанных ни у одного требования</t>
  </si>
  <si>
    <t>Всего историй</t>
  </si>
  <si>
    <t>Историй без требований</t>
  </si>
  <si>
    <t>Незакрытых бизнес-целей</t>
  </si>
  <si>
    <t>Непокрытых метрик</t>
  </si>
  <si>
    <t>Скрипт сборки дополнительно сверил все ID с 2.1_PRD, 2.2_SRS и 2.3_UserStories: битых ссылок 0, тестами покрыты все критерии приёмки (34).</t>
  </si>
  <si>
    <t>Пример сквозной цепочки: BG-1 → M-1 → US-01 → AC-01.1 → FR-10 → TC-08, TC-09, TC-10.</t>
  </si>
  <si>
    <t>Легенда: ↑ — источник (откуда требование), ↓ — проверка (чем подтверждается).</t>
  </si>
  <si>
    <t>Статус «Запланирован»: тест-кейсы — план тестирования, фича ещё не реализована.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</si>
</sst>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6.7109375" customWidth="1"/>
    <col min="3" max="3" width="50.7109375" customWidth="1"/>
    <col min="4" max="4" width="5.7109375" customWidth="1"/>
    <col min="5" max="5" width="17.7109375" customWidth="1"/>
    <col min="6" max="6" width="20.7109375" customWidth="1"/>
    <col min="7" max="7" width="16.7109375" customWidth="1"/>
    <col min="8" max="8" width="20.7109375" customWidth="1"/>
    <col min="9" max="9" width="16.7109375" customWidth="1"/>
    <col min="10" max="10" width="13.7109375" customWidth="1"/>
    <col min="11" max="11" width="1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tr">
        <f>IF(AND(LEFT(E2,3)="BG-",COUNTIF('Тест-кейсы'!A:A,LEFT(I2,5))&gt;0),"OK","СИРОТА")</f>
        <v>OK</v>
      </c>
    </row>
    <row r="3" spans="1:11">
      <c r="A3" s="2" t="s">
        <v>21</v>
      </c>
      <c r="B3" s="2" t="s">
        <v>12</v>
      </c>
      <c r="C3" s="2" t="s">
        <v>22</v>
      </c>
      <c r="D3" s="2" t="s">
        <v>14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20</v>
      </c>
      <c r="K3" s="3" t="str">
        <f>IF(AND(LEFT(E3,3)="BG-",COUNTIF('Тест-кейсы'!A:A,LEFT(I3,5))&gt;0),"OK","СИРОТА")</f>
        <v>OK</v>
      </c>
    </row>
    <row r="4" spans="1:11">
      <c r="A4" s="2" t="s">
        <v>28</v>
      </c>
      <c r="B4" s="2" t="s">
        <v>12</v>
      </c>
      <c r="C4" s="2" t="s">
        <v>29</v>
      </c>
      <c r="D4" s="2" t="s">
        <v>14</v>
      </c>
      <c r="E4" s="2" t="s">
        <v>15</v>
      </c>
      <c r="F4" s="2" t="s">
        <v>16</v>
      </c>
      <c r="G4" s="2" t="s">
        <v>30</v>
      </c>
      <c r="H4" s="2" t="s">
        <v>31</v>
      </c>
      <c r="I4" s="2" t="s">
        <v>32</v>
      </c>
      <c r="J4" s="2" t="s">
        <v>20</v>
      </c>
      <c r="K4" s="3" t="str">
        <f>IF(AND(LEFT(E4,3)="BG-",COUNTIF('Тест-кейсы'!A:A,LEFT(I4,5))&gt;0),"OK","СИРОТА")</f>
        <v>OK</v>
      </c>
    </row>
    <row r="5" spans="1:11">
      <c r="A5" s="2" t="s">
        <v>33</v>
      </c>
      <c r="B5" s="2" t="s">
        <v>12</v>
      </c>
      <c r="C5" s="2" t="s">
        <v>34</v>
      </c>
      <c r="D5" s="2" t="s">
        <v>14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35</v>
      </c>
      <c r="J5" s="2" t="s">
        <v>20</v>
      </c>
      <c r="K5" s="3" t="str">
        <f>IF(AND(LEFT(E5,3)="BG-",COUNTIF('Тест-кейсы'!A:A,LEFT(I5,5))&gt;0),"OK","СИРОТА")</f>
        <v>OK</v>
      </c>
    </row>
    <row r="6" spans="1:11">
      <c r="A6" s="2" t="s">
        <v>36</v>
      </c>
      <c r="B6" s="2" t="s">
        <v>12</v>
      </c>
      <c r="C6" s="2" t="s">
        <v>37</v>
      </c>
      <c r="D6" s="2" t="s">
        <v>14</v>
      </c>
      <c r="E6" s="2" t="s">
        <v>15</v>
      </c>
      <c r="F6" s="2" t="s">
        <v>38</v>
      </c>
      <c r="G6" s="2" t="s">
        <v>17</v>
      </c>
      <c r="H6" s="2" t="s">
        <v>39</v>
      </c>
      <c r="I6" s="2" t="s">
        <v>40</v>
      </c>
      <c r="J6" s="2" t="s">
        <v>20</v>
      </c>
      <c r="K6" s="3" t="str">
        <f>IF(AND(LEFT(E6,3)="BG-",COUNTIF('Тест-кейсы'!A:A,LEFT(I6,5))&gt;0),"OK","СИРОТА")</f>
        <v>OK</v>
      </c>
    </row>
    <row r="7" spans="1:11">
      <c r="A7" s="2" t="s">
        <v>41</v>
      </c>
      <c r="B7" s="2" t="s">
        <v>12</v>
      </c>
      <c r="C7" s="2" t="s">
        <v>42</v>
      </c>
      <c r="D7" s="2" t="s">
        <v>14</v>
      </c>
      <c r="E7" s="2" t="s">
        <v>15</v>
      </c>
      <c r="F7" s="2" t="s">
        <v>38</v>
      </c>
      <c r="G7" s="2" t="s">
        <v>43</v>
      </c>
      <c r="H7" s="2" t="s">
        <v>44</v>
      </c>
      <c r="I7" s="2" t="s">
        <v>45</v>
      </c>
      <c r="J7" s="2" t="s">
        <v>20</v>
      </c>
      <c r="K7" s="3" t="str">
        <f>IF(AND(LEFT(E7,3)="BG-",COUNTIF('Тест-кейсы'!A:A,LEFT(I7,5))&gt;0),"OK","СИРОТА")</f>
        <v>OK</v>
      </c>
    </row>
    <row r="8" spans="1:11">
      <c r="A8" s="2" t="s">
        <v>46</v>
      </c>
      <c r="B8" s="2" t="s">
        <v>12</v>
      </c>
      <c r="C8" s="2" t="s">
        <v>47</v>
      </c>
      <c r="D8" s="2" t="s">
        <v>14</v>
      </c>
      <c r="E8" s="2" t="s">
        <v>23</v>
      </c>
      <c r="F8" s="2" t="s">
        <v>24</v>
      </c>
      <c r="G8" s="2" t="s">
        <v>48</v>
      </c>
      <c r="H8" s="2" t="s">
        <v>49</v>
      </c>
      <c r="I8" s="2" t="s">
        <v>50</v>
      </c>
      <c r="J8" s="2" t="s">
        <v>20</v>
      </c>
      <c r="K8" s="3" t="str">
        <f>IF(AND(LEFT(E8,3)="BG-",COUNTIF('Тест-кейсы'!A:A,LEFT(I8,5))&gt;0),"OK","СИРОТА")</f>
        <v>OK</v>
      </c>
    </row>
    <row r="9" spans="1:11">
      <c r="A9" s="2" t="s">
        <v>51</v>
      </c>
      <c r="B9" s="2" t="s">
        <v>12</v>
      </c>
      <c r="C9" s="2" t="s">
        <v>52</v>
      </c>
      <c r="D9" s="2" t="s">
        <v>14</v>
      </c>
      <c r="E9" s="2" t="s">
        <v>23</v>
      </c>
      <c r="F9" s="2" t="s">
        <v>24</v>
      </c>
      <c r="G9" s="2" t="s">
        <v>53</v>
      </c>
      <c r="H9" s="2" t="s">
        <v>54</v>
      </c>
      <c r="I9" s="2" t="s">
        <v>55</v>
      </c>
      <c r="J9" s="2" t="s">
        <v>20</v>
      </c>
      <c r="K9" s="3" t="str">
        <f>IF(AND(LEFT(E9,3)="BG-",COUNTIF('Тест-кейсы'!A:A,LEFT(I9,5))&gt;0),"OK","СИРОТА")</f>
        <v>OK</v>
      </c>
    </row>
    <row r="10" spans="1:11">
      <c r="A10" s="2" t="s">
        <v>56</v>
      </c>
      <c r="B10" s="2" t="s">
        <v>12</v>
      </c>
      <c r="C10" s="2" t="s">
        <v>57</v>
      </c>
      <c r="D10" s="2" t="s">
        <v>14</v>
      </c>
      <c r="E10" s="2" t="s">
        <v>23</v>
      </c>
      <c r="F10" s="2" t="s">
        <v>24</v>
      </c>
      <c r="G10" s="2" t="s">
        <v>58</v>
      </c>
      <c r="H10" s="2" t="s">
        <v>59</v>
      </c>
      <c r="I10" s="2" t="s">
        <v>60</v>
      </c>
      <c r="J10" s="2" t="s">
        <v>20</v>
      </c>
      <c r="K10" s="3" t="str">
        <f>IF(AND(LEFT(E10,3)="BG-",COUNTIF('Тест-кейсы'!A:A,LEFT(I10,5))&gt;0),"OK","СИРОТА")</f>
        <v>OK</v>
      </c>
    </row>
    <row r="11" spans="1:11">
      <c r="A11" s="2" t="s">
        <v>61</v>
      </c>
      <c r="B11" s="2" t="s">
        <v>12</v>
      </c>
      <c r="C11" s="2" t="s">
        <v>62</v>
      </c>
      <c r="D11" s="2" t="s">
        <v>14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20</v>
      </c>
      <c r="K11" s="3" t="str">
        <f>IF(AND(LEFT(E11,3)="BG-",COUNTIF('Тест-кейсы'!A:A,LEFT(I11,5))&gt;0),"OK","СИРОТА")</f>
        <v>OK</v>
      </c>
    </row>
    <row r="12" spans="1:11">
      <c r="A12" s="2" t="s">
        <v>68</v>
      </c>
      <c r="B12" s="2" t="s">
        <v>12</v>
      </c>
      <c r="C12" s="2" t="s">
        <v>69</v>
      </c>
      <c r="D12" s="2" t="s">
        <v>14</v>
      </c>
      <c r="E12" s="2" t="s">
        <v>70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20</v>
      </c>
      <c r="K12" s="3" t="str">
        <f>IF(AND(LEFT(E12,3)="BG-",COUNTIF('Тест-кейсы'!A:A,LEFT(I12,5))&gt;0),"OK","СИРОТА")</f>
        <v>OK</v>
      </c>
    </row>
    <row r="13" spans="1:11">
      <c r="A13" s="2" t="s">
        <v>75</v>
      </c>
      <c r="B13" s="2" t="s">
        <v>12</v>
      </c>
      <c r="C13" s="2" t="s">
        <v>76</v>
      </c>
      <c r="D13" s="2" t="s">
        <v>14</v>
      </c>
      <c r="E13" s="2" t="s">
        <v>23</v>
      </c>
      <c r="F13" s="2" t="s">
        <v>24</v>
      </c>
      <c r="G13" s="2" t="s">
        <v>77</v>
      </c>
      <c r="H13" s="2" t="s">
        <v>78</v>
      </c>
      <c r="I13" s="2" t="s">
        <v>79</v>
      </c>
      <c r="J13" s="2" t="s">
        <v>20</v>
      </c>
      <c r="K13" s="3" t="str">
        <f>IF(AND(LEFT(E13,3)="BG-",COUNTIF('Тест-кейсы'!A:A,LEFT(I13,5))&gt;0),"OK","СИРОТА")</f>
        <v>OK</v>
      </c>
    </row>
    <row r="14" spans="1:11">
      <c r="A14" s="2" t="s">
        <v>80</v>
      </c>
      <c r="B14" s="2" t="s">
        <v>12</v>
      </c>
      <c r="C14" s="2" t="s">
        <v>81</v>
      </c>
      <c r="D14" s="2" t="s">
        <v>14</v>
      </c>
      <c r="E14" s="2" t="s">
        <v>82</v>
      </c>
      <c r="F14" s="2" t="s">
        <v>83</v>
      </c>
      <c r="G14" s="2" t="s">
        <v>84</v>
      </c>
      <c r="H14" s="2" t="s">
        <v>85</v>
      </c>
      <c r="I14" s="2" t="s">
        <v>86</v>
      </c>
      <c r="J14" s="2" t="s">
        <v>20</v>
      </c>
      <c r="K14" s="3" t="str">
        <f>IF(AND(LEFT(E14,3)="BG-",COUNTIF('Тест-кейсы'!A:A,LEFT(I14,5))&gt;0),"OK","СИРОТА")</f>
        <v>OK</v>
      </c>
    </row>
    <row r="15" spans="1:11">
      <c r="A15" s="2" t="s">
        <v>87</v>
      </c>
      <c r="B15" s="2" t="s">
        <v>12</v>
      </c>
      <c r="C15" s="2" t="s">
        <v>88</v>
      </c>
      <c r="D15" s="2" t="s">
        <v>14</v>
      </c>
      <c r="E15" s="2" t="s">
        <v>89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20</v>
      </c>
      <c r="K15" s="3" t="str">
        <f>IF(AND(LEFT(E15,3)="BG-",COUNTIF('Тест-кейсы'!A:A,LEFT(I15,5))&gt;0),"OK","СИРОТА")</f>
        <v>OK</v>
      </c>
    </row>
    <row r="16" spans="1:11">
      <c r="A16" s="2" t="s">
        <v>94</v>
      </c>
      <c r="B16" s="2" t="s">
        <v>12</v>
      </c>
      <c r="C16" s="2" t="s">
        <v>95</v>
      </c>
      <c r="D16" s="2" t="s">
        <v>14</v>
      </c>
      <c r="E16" s="2" t="s">
        <v>82</v>
      </c>
      <c r="F16" s="2" t="s">
        <v>83</v>
      </c>
      <c r="G16" s="2" t="s">
        <v>96</v>
      </c>
      <c r="H16" s="2" t="s">
        <v>97</v>
      </c>
      <c r="I16" s="2" t="s">
        <v>98</v>
      </c>
      <c r="J16" s="2" t="s">
        <v>20</v>
      </c>
      <c r="K16" s="3" t="str">
        <f>IF(AND(LEFT(E16,3)="BG-",COUNTIF('Тест-кейсы'!A:A,LEFT(I16,5))&gt;0),"OK","СИРОТА")</f>
        <v>OK</v>
      </c>
    </row>
    <row r="17" spans="1:11">
      <c r="A17" s="2" t="s">
        <v>99</v>
      </c>
      <c r="B17" s="2" t="s">
        <v>12</v>
      </c>
      <c r="C17" s="2" t="s">
        <v>100</v>
      </c>
      <c r="D17" s="2" t="s">
        <v>14</v>
      </c>
      <c r="E17" s="2" t="s">
        <v>101</v>
      </c>
      <c r="F17" s="2" t="s">
        <v>102</v>
      </c>
      <c r="G17" s="2" t="s">
        <v>103</v>
      </c>
      <c r="H17" s="2" t="s">
        <v>104</v>
      </c>
      <c r="I17" s="2" t="s">
        <v>105</v>
      </c>
      <c r="J17" s="2" t="s">
        <v>20</v>
      </c>
      <c r="K17" s="3" t="str">
        <f>IF(AND(LEFT(E17,3)="BG-",COUNTIF('Тест-кейсы'!A:A,LEFT(I17,5))&gt;0),"OK","СИРОТА")</f>
        <v>OK</v>
      </c>
    </row>
    <row r="18" spans="1:11">
      <c r="A18" s="2" t="s">
        <v>106</v>
      </c>
      <c r="B18" s="2" t="s">
        <v>12</v>
      </c>
      <c r="C18" s="2" t="s">
        <v>107</v>
      </c>
      <c r="D18" s="2" t="s">
        <v>14</v>
      </c>
      <c r="E18" s="2" t="s">
        <v>23</v>
      </c>
      <c r="F18" s="2" t="s">
        <v>108</v>
      </c>
      <c r="G18" s="2" t="s">
        <v>109</v>
      </c>
      <c r="H18" s="2" t="s">
        <v>110</v>
      </c>
      <c r="I18" s="2" t="s">
        <v>111</v>
      </c>
      <c r="J18" s="2" t="s">
        <v>20</v>
      </c>
      <c r="K18" s="3" t="str">
        <f>IF(AND(LEFT(E18,3)="BG-",COUNTIF('Тест-кейсы'!A:A,LEFT(I18,5))&gt;0),"OK","СИРОТА")</f>
        <v>OK</v>
      </c>
    </row>
    <row r="19" spans="1:11">
      <c r="A19" s="2" t="s">
        <v>112</v>
      </c>
      <c r="B19" s="2" t="s">
        <v>12</v>
      </c>
      <c r="C19" s="2" t="s">
        <v>113</v>
      </c>
      <c r="D19" s="2" t="s">
        <v>14</v>
      </c>
      <c r="E19" s="2" t="s">
        <v>23</v>
      </c>
      <c r="F19" s="2" t="s">
        <v>108</v>
      </c>
      <c r="G19" s="2" t="s">
        <v>114</v>
      </c>
      <c r="H19" s="2" t="s">
        <v>115</v>
      </c>
      <c r="I19" s="2" t="s">
        <v>116</v>
      </c>
      <c r="J19" s="2" t="s">
        <v>20</v>
      </c>
      <c r="K19" s="3" t="str">
        <f>IF(AND(LEFT(E19,3)="BG-",COUNTIF('Тест-кейсы'!A:A,LEFT(I19,5))&gt;0),"OK","СИРОТА")</f>
        <v>OK</v>
      </c>
    </row>
    <row r="20" spans="1:11">
      <c r="A20" s="2" t="s">
        <v>117</v>
      </c>
      <c r="B20" s="2" t="s">
        <v>12</v>
      </c>
      <c r="C20" s="2" t="s">
        <v>118</v>
      </c>
      <c r="D20" s="2" t="s">
        <v>14</v>
      </c>
      <c r="E20" s="2" t="s">
        <v>23</v>
      </c>
      <c r="F20" s="2" t="s">
        <v>108</v>
      </c>
      <c r="G20" s="2" t="s">
        <v>119</v>
      </c>
      <c r="H20" s="2" t="s">
        <v>120</v>
      </c>
      <c r="I20" s="2" t="s">
        <v>121</v>
      </c>
      <c r="J20" s="2" t="s">
        <v>20</v>
      </c>
      <c r="K20" s="3" t="str">
        <f>IF(AND(LEFT(E20,3)="BG-",COUNTIF('Тест-кейсы'!A:A,LEFT(I20,5))&gt;0),"OK","СИРОТА")</f>
        <v>OK</v>
      </c>
    </row>
    <row r="21" spans="1:11">
      <c r="A21" s="2" t="s">
        <v>122</v>
      </c>
      <c r="B21" s="2" t="s">
        <v>12</v>
      </c>
      <c r="C21" s="2" t="s">
        <v>123</v>
      </c>
      <c r="D21" s="2" t="s">
        <v>14</v>
      </c>
      <c r="E21" s="2" t="s">
        <v>23</v>
      </c>
      <c r="F21" s="2" t="s">
        <v>108</v>
      </c>
      <c r="G21" s="2" t="s">
        <v>109</v>
      </c>
      <c r="H21" s="2" t="s">
        <v>124</v>
      </c>
      <c r="I21" s="2" t="s">
        <v>125</v>
      </c>
      <c r="J21" s="2" t="s">
        <v>20</v>
      </c>
      <c r="K21" s="3" t="str">
        <f>IF(AND(LEFT(E21,3)="BG-",COUNTIF('Тест-кейсы'!A:A,LEFT(I21,5))&gt;0),"OK","СИРОТА")</f>
        <v>OK</v>
      </c>
    </row>
    <row r="22" spans="1:11">
      <c r="A22" s="2" t="s">
        <v>126</v>
      </c>
      <c r="B22" s="2" t="s">
        <v>12</v>
      </c>
      <c r="C22" s="2" t="s">
        <v>127</v>
      </c>
      <c r="D22" s="2" t="s">
        <v>14</v>
      </c>
      <c r="E22" s="2" t="s">
        <v>128</v>
      </c>
      <c r="F22" s="2" t="s">
        <v>129</v>
      </c>
      <c r="G22" s="2" t="s">
        <v>130</v>
      </c>
      <c r="H22" s="2" t="s">
        <v>129</v>
      </c>
      <c r="I22" s="2" t="s">
        <v>131</v>
      </c>
      <c r="J22" s="2" t="s">
        <v>20</v>
      </c>
      <c r="K22" s="3" t="str">
        <f>IF(AND(LEFT(E22,3)="BG-",COUNTIF('Тест-кейсы'!A:A,LEFT(I22,5))&gt;0),"OK","СИРОТА")</f>
        <v>OK</v>
      </c>
    </row>
    <row r="23" spans="1:11">
      <c r="A23" s="2" t="s">
        <v>132</v>
      </c>
      <c r="B23" s="2" t="s">
        <v>12</v>
      </c>
      <c r="C23" s="2" t="s">
        <v>133</v>
      </c>
      <c r="D23" s="2" t="s">
        <v>14</v>
      </c>
      <c r="E23" s="2" t="s">
        <v>134</v>
      </c>
      <c r="F23" s="2" t="s">
        <v>135</v>
      </c>
      <c r="G23" s="2" t="s">
        <v>136</v>
      </c>
      <c r="H23" s="2" t="s">
        <v>129</v>
      </c>
      <c r="I23" s="2" t="s">
        <v>137</v>
      </c>
      <c r="J23" s="2" t="s">
        <v>20</v>
      </c>
      <c r="K23" s="3" t="str">
        <f>IF(AND(LEFT(E23,3)="BG-",COUNTIF('Тест-кейсы'!A:A,LEFT(I23,5))&gt;0),"OK","СИРОТА")</f>
        <v>OK</v>
      </c>
    </row>
    <row r="24" spans="1:11">
      <c r="A24" s="2" t="s">
        <v>138</v>
      </c>
      <c r="B24" s="2" t="s">
        <v>139</v>
      </c>
      <c r="C24" s="2" t="s">
        <v>140</v>
      </c>
      <c r="D24" s="2" t="s">
        <v>14</v>
      </c>
      <c r="E24" s="2" t="s">
        <v>128</v>
      </c>
      <c r="F24" s="2" t="s">
        <v>141</v>
      </c>
      <c r="G24" s="2" t="s">
        <v>130</v>
      </c>
      <c r="H24" s="2" t="s">
        <v>129</v>
      </c>
      <c r="I24" s="2" t="s">
        <v>142</v>
      </c>
      <c r="J24" s="2" t="s">
        <v>20</v>
      </c>
      <c r="K24" s="3" t="str">
        <f>IF(AND(LEFT(E24,3)="BG-",COUNTIF('Тест-кейсы'!A:A,LEFT(I24,5))&gt;0),"OK","СИРОТА")</f>
        <v>OK</v>
      </c>
    </row>
    <row r="25" spans="1:11">
      <c r="A25" s="2" t="s">
        <v>143</v>
      </c>
      <c r="B25" s="2" t="s">
        <v>139</v>
      </c>
      <c r="C25" s="2" t="s">
        <v>144</v>
      </c>
      <c r="D25" s="2" t="s">
        <v>14</v>
      </c>
      <c r="E25" s="2" t="s">
        <v>128</v>
      </c>
      <c r="F25" s="2" t="s">
        <v>129</v>
      </c>
      <c r="G25" s="2" t="s">
        <v>130</v>
      </c>
      <c r="H25" s="2" t="s">
        <v>129</v>
      </c>
      <c r="I25" s="2" t="s">
        <v>145</v>
      </c>
      <c r="J25" s="2" t="s">
        <v>20</v>
      </c>
      <c r="K25" s="3" t="str">
        <f>IF(AND(LEFT(E25,3)="BG-",COUNTIF('Тест-кейсы'!A:A,LEFT(I25,5))&gt;0),"OK","СИРОТА")</f>
        <v>OK</v>
      </c>
    </row>
    <row r="26" spans="1:11">
      <c r="A26" s="2" t="s">
        <v>146</v>
      </c>
      <c r="B26" s="2" t="s">
        <v>139</v>
      </c>
      <c r="C26" s="2" t="s">
        <v>147</v>
      </c>
      <c r="D26" s="2" t="s">
        <v>14</v>
      </c>
      <c r="E26" s="2" t="s">
        <v>23</v>
      </c>
      <c r="F26" s="2" t="s">
        <v>24</v>
      </c>
      <c r="G26" s="2" t="s">
        <v>58</v>
      </c>
      <c r="H26" s="2" t="s">
        <v>148</v>
      </c>
      <c r="I26" s="2" t="s">
        <v>149</v>
      </c>
      <c r="J26" s="2" t="s">
        <v>20</v>
      </c>
      <c r="K26" s="3" t="str">
        <f>IF(AND(LEFT(E26,3)="BG-",COUNTIF('Тест-кейсы'!A:A,LEFT(I26,5))&gt;0),"OK","СИРОТА")</f>
        <v>OK</v>
      </c>
    </row>
    <row r="27" spans="1:11">
      <c r="A27" s="2" t="s">
        <v>150</v>
      </c>
      <c r="B27" s="2" t="s">
        <v>139</v>
      </c>
      <c r="C27" s="2" t="s">
        <v>151</v>
      </c>
      <c r="D27" s="2" t="s">
        <v>14</v>
      </c>
      <c r="E27" s="2" t="s">
        <v>23</v>
      </c>
      <c r="F27" s="2" t="s">
        <v>108</v>
      </c>
      <c r="G27" s="2" t="s">
        <v>119</v>
      </c>
      <c r="H27" s="2" t="s">
        <v>152</v>
      </c>
      <c r="I27" s="2" t="s">
        <v>121</v>
      </c>
      <c r="J27" s="2" t="s">
        <v>20</v>
      </c>
      <c r="K27" s="3" t="str">
        <f>IF(AND(LEFT(E27,3)="BG-",COUNTIF('Тест-кейсы'!A:A,LEFT(I27,5))&gt;0),"OK","СИРОТА")</f>
        <v>OK</v>
      </c>
    </row>
    <row r="28" spans="1:11">
      <c r="A28" s="2" t="s">
        <v>153</v>
      </c>
      <c r="B28" s="2" t="s">
        <v>139</v>
      </c>
      <c r="C28" s="2" t="s">
        <v>154</v>
      </c>
      <c r="D28" s="2" t="s">
        <v>14</v>
      </c>
      <c r="E28" s="2" t="s">
        <v>23</v>
      </c>
      <c r="F28" s="2" t="s">
        <v>24</v>
      </c>
      <c r="G28" s="2" t="s">
        <v>48</v>
      </c>
      <c r="H28" s="2" t="s">
        <v>155</v>
      </c>
      <c r="I28" s="2" t="s">
        <v>156</v>
      </c>
      <c r="J28" s="2" t="s">
        <v>20</v>
      </c>
      <c r="K28" s="3" t="str">
        <f>IF(AND(LEFT(E28,3)="BG-",COUNTIF('Тест-кейсы'!A:A,LEFT(I28,5))&gt;0),"OK","СИРОТА")</f>
        <v>OK</v>
      </c>
    </row>
    <row r="29" spans="1:11">
      <c r="A29" s="2" t="s">
        <v>157</v>
      </c>
      <c r="B29" s="2" t="s">
        <v>139</v>
      </c>
      <c r="C29" s="2" t="s">
        <v>158</v>
      </c>
      <c r="D29" s="2" t="s">
        <v>14</v>
      </c>
      <c r="E29" s="2" t="s">
        <v>82</v>
      </c>
      <c r="F29" s="2" t="s">
        <v>83</v>
      </c>
      <c r="G29" s="2" t="s">
        <v>84</v>
      </c>
      <c r="H29" s="2" t="s">
        <v>85</v>
      </c>
      <c r="I29" s="2" t="s">
        <v>159</v>
      </c>
      <c r="J29" s="2" t="s">
        <v>20</v>
      </c>
      <c r="K29" s="3" t="str">
        <f>IF(AND(LEFT(E29,3)="BG-",COUNTIF('Тест-кейсы'!A:A,LEFT(I29,5))&gt;0),"OK","СИРОТА")</f>
        <v>OK</v>
      </c>
    </row>
    <row r="30" spans="1:11">
      <c r="A30" s="2" t="s">
        <v>160</v>
      </c>
      <c r="B30" s="2" t="s">
        <v>139</v>
      </c>
      <c r="C30" s="2" t="s">
        <v>161</v>
      </c>
      <c r="D30" s="2" t="s">
        <v>14</v>
      </c>
      <c r="E30" s="2" t="s">
        <v>128</v>
      </c>
      <c r="F30" s="2" t="s">
        <v>141</v>
      </c>
      <c r="G30" s="2" t="s">
        <v>130</v>
      </c>
      <c r="H30" s="2" t="s">
        <v>129</v>
      </c>
      <c r="I30" s="2" t="s">
        <v>162</v>
      </c>
      <c r="J30" s="2" t="s">
        <v>20</v>
      </c>
      <c r="K30" s="3" t="str">
        <f>IF(AND(LEFT(E30,3)="BG-",COUNTIF('Тест-кейсы'!A:A,LEFT(I30,5))&gt;0),"OK","СИРОТА")</f>
        <v>OK</v>
      </c>
    </row>
    <row r="31" spans="1:11">
      <c r="A31" s="2" t="s">
        <v>163</v>
      </c>
      <c r="B31" s="2" t="s">
        <v>139</v>
      </c>
      <c r="C31" s="2" t="s">
        <v>164</v>
      </c>
      <c r="D31" s="2" t="s">
        <v>165</v>
      </c>
      <c r="E31" s="2" t="s">
        <v>128</v>
      </c>
      <c r="F31" s="2" t="s">
        <v>141</v>
      </c>
      <c r="G31" s="2" t="s">
        <v>130</v>
      </c>
      <c r="H31" s="2" t="s">
        <v>129</v>
      </c>
      <c r="I31" s="2" t="s">
        <v>166</v>
      </c>
      <c r="J31" s="2" t="s">
        <v>20</v>
      </c>
      <c r="K31" s="3" t="str">
        <f>IF(AND(LEFT(E31,3)="BG-",COUNTIF('Тест-кейсы'!A:A,LEFT(I31,5))&gt;0),"OK","СИРОТА")</f>
        <v>OK</v>
      </c>
    </row>
    <row r="32" spans="1:11">
      <c r="A32" s="2" t="s">
        <v>167</v>
      </c>
      <c r="B32" s="2" t="s">
        <v>139</v>
      </c>
      <c r="C32" s="2" t="s">
        <v>168</v>
      </c>
      <c r="D32" s="2" t="s">
        <v>14</v>
      </c>
      <c r="E32" s="2" t="s">
        <v>23</v>
      </c>
      <c r="F32" s="2" t="s">
        <v>108</v>
      </c>
      <c r="G32" s="2" t="s">
        <v>169</v>
      </c>
      <c r="H32" s="2" t="s">
        <v>129</v>
      </c>
      <c r="I32" s="2" t="s">
        <v>170</v>
      </c>
      <c r="J32" s="2" t="s">
        <v>20</v>
      </c>
      <c r="K32" s="3" t="str">
        <f>IF(AND(LEFT(E32,3)="BG-",COUNTIF('Тест-кейсы'!A:A,LEFT(I32,5))&gt;0),"OK","СИРОТА")</f>
        <v>OK</v>
      </c>
    </row>
  </sheetData>
  <autoFilter ref="A1:K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24.7109375" customWidth="1"/>
    <col min="3" max="3" width="28.7109375" customWidth="1"/>
    <col min="4" max="4" width="38.7109375" customWidth="1"/>
    <col min="5" max="5" width="46.7109375" customWidth="1"/>
    <col min="6" max="6" width="14.7109375" customWidth="1"/>
    <col min="7" max="7" width="18.7109375" customWidth="1"/>
    <col min="8" max="8" width="10.7109375" customWidth="1"/>
  </cols>
  <sheetData>
    <row r="1" spans="1:8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7</v>
      </c>
      <c r="H1" s="1" t="s">
        <v>10</v>
      </c>
    </row>
    <row r="2" spans="1:8">
      <c r="A2" s="2" t="s">
        <v>177</v>
      </c>
      <c r="B2" s="2" t="s">
        <v>178</v>
      </c>
      <c r="C2" s="2" t="s">
        <v>179</v>
      </c>
      <c r="D2" s="2" t="s">
        <v>180</v>
      </c>
      <c r="E2" s="2" t="s">
        <v>181</v>
      </c>
      <c r="F2" s="2" t="s">
        <v>11</v>
      </c>
      <c r="G2" s="2" t="s">
        <v>129</v>
      </c>
      <c r="H2" s="3" t="str">
        <f>IF(COUNTIF(RTM!I:I,"*"&amp;A2&amp;"*")&gt;0,"OK","НЕТ ТРЕБ.")</f>
        <v>OK</v>
      </c>
    </row>
    <row r="3" spans="1:8">
      <c r="A3" s="2" t="s">
        <v>182</v>
      </c>
      <c r="B3" s="2" t="s">
        <v>183</v>
      </c>
      <c r="C3" s="2" t="s">
        <v>184</v>
      </c>
      <c r="D3" s="2" t="s">
        <v>185</v>
      </c>
      <c r="E3" s="2" t="s">
        <v>186</v>
      </c>
      <c r="F3" s="2" t="s">
        <v>21</v>
      </c>
      <c r="G3" s="2" t="s">
        <v>26</v>
      </c>
      <c r="H3" s="3" t="str">
        <f>IF(COUNTIF(RTM!I:I,"*"&amp;A3&amp;"*")&gt;0,"OK","НЕТ ТРЕБ.")</f>
        <v>OK</v>
      </c>
    </row>
    <row r="4" spans="1:8">
      <c r="A4" s="2" t="s">
        <v>32</v>
      </c>
      <c r="B4" s="2" t="s">
        <v>187</v>
      </c>
      <c r="C4" s="2" t="s">
        <v>188</v>
      </c>
      <c r="D4" s="2" t="s">
        <v>189</v>
      </c>
      <c r="E4" s="2" t="s">
        <v>190</v>
      </c>
      <c r="F4" s="2" t="s">
        <v>28</v>
      </c>
      <c r="G4" s="2" t="s">
        <v>31</v>
      </c>
      <c r="H4" s="3" t="str">
        <f>IF(COUNTIF(RTM!I:I,"*"&amp;A4&amp;"*")&gt;0,"OK","НЕТ ТРЕБ.")</f>
        <v>OK</v>
      </c>
    </row>
    <row r="5" spans="1:8">
      <c r="A5" s="2" t="s">
        <v>35</v>
      </c>
      <c r="B5" s="2" t="s">
        <v>191</v>
      </c>
      <c r="C5" s="2" t="s">
        <v>192</v>
      </c>
      <c r="D5" s="2" t="s">
        <v>193</v>
      </c>
      <c r="E5" s="2" t="s">
        <v>194</v>
      </c>
      <c r="F5" s="2" t="s">
        <v>33</v>
      </c>
      <c r="G5" s="2" t="s">
        <v>26</v>
      </c>
      <c r="H5" s="3" t="str">
        <f>IF(COUNTIF(RTM!I:I,"*"&amp;A5&amp;"*")&gt;0,"OK","НЕТ ТРЕБ.")</f>
        <v>OK</v>
      </c>
    </row>
    <row r="6" spans="1:8">
      <c r="A6" s="2" t="s">
        <v>195</v>
      </c>
      <c r="B6" s="2" t="s">
        <v>196</v>
      </c>
      <c r="C6" s="2" t="s">
        <v>197</v>
      </c>
      <c r="D6" s="2" t="s">
        <v>198</v>
      </c>
      <c r="E6" s="2" t="s">
        <v>199</v>
      </c>
      <c r="F6" s="2" t="s">
        <v>200</v>
      </c>
      <c r="G6" s="2" t="s">
        <v>18</v>
      </c>
      <c r="H6" s="3" t="str">
        <f>IF(COUNTIF(RTM!I:I,"*"&amp;A6&amp;"*")&gt;0,"OK","НЕТ ТРЕБ.")</f>
        <v>OK</v>
      </c>
    </row>
    <row r="7" spans="1:8">
      <c r="A7" s="2" t="s">
        <v>201</v>
      </c>
      <c r="B7" s="2" t="s">
        <v>202</v>
      </c>
      <c r="C7" s="2" t="s">
        <v>203</v>
      </c>
      <c r="D7" s="2" t="s">
        <v>204</v>
      </c>
      <c r="E7" s="2" t="s">
        <v>205</v>
      </c>
      <c r="F7" s="2" t="s">
        <v>36</v>
      </c>
      <c r="G7" s="2" t="s">
        <v>206</v>
      </c>
      <c r="H7" s="3" t="str">
        <f>IF(COUNTIF(RTM!I:I,"*"&amp;A7&amp;"*")&gt;0,"OK","НЕТ ТРЕБ.")</f>
        <v>OK</v>
      </c>
    </row>
    <row r="8" spans="1:8">
      <c r="A8" s="2" t="s">
        <v>207</v>
      </c>
      <c r="B8" s="2" t="s">
        <v>208</v>
      </c>
      <c r="C8" s="2" t="s">
        <v>209</v>
      </c>
      <c r="D8" s="2" t="s">
        <v>210</v>
      </c>
      <c r="E8" s="2" t="s">
        <v>211</v>
      </c>
      <c r="F8" s="2" t="s">
        <v>36</v>
      </c>
      <c r="G8" s="2" t="s">
        <v>212</v>
      </c>
      <c r="H8" s="3" t="str">
        <f>IF(COUNTIF(RTM!I:I,"*"&amp;A8&amp;"*")&gt;0,"OK","НЕТ ТРЕБ.")</f>
        <v>OK</v>
      </c>
    </row>
    <row r="9" spans="1:8">
      <c r="A9" s="2" t="s">
        <v>213</v>
      </c>
      <c r="B9" s="2" t="s">
        <v>214</v>
      </c>
      <c r="C9" s="2" t="s">
        <v>215</v>
      </c>
      <c r="D9" s="2" t="s">
        <v>216</v>
      </c>
      <c r="E9" s="2" t="s">
        <v>217</v>
      </c>
      <c r="F9" s="2" t="s">
        <v>218</v>
      </c>
      <c r="G9" s="2" t="s">
        <v>219</v>
      </c>
      <c r="H9" s="3" t="str">
        <f>IF(COUNTIF(RTM!I:I,"*"&amp;A9&amp;"*")&gt;0,"OK","НЕТ ТРЕБ.")</f>
        <v>OK</v>
      </c>
    </row>
    <row r="10" spans="1:8">
      <c r="A10" s="2" t="s">
        <v>220</v>
      </c>
      <c r="B10" s="2" t="s">
        <v>221</v>
      </c>
      <c r="C10" s="2" t="s">
        <v>222</v>
      </c>
      <c r="D10" s="2" t="s">
        <v>223</v>
      </c>
      <c r="E10" s="2" t="s">
        <v>224</v>
      </c>
      <c r="F10" s="2" t="s">
        <v>61</v>
      </c>
      <c r="G10" s="2" t="s">
        <v>225</v>
      </c>
      <c r="H10" s="3" t="str">
        <f>IF(COUNTIF(RTM!I:I,"*"&amp;A10&amp;"*")&gt;0,"OK","НЕТ ТРЕБ.")</f>
        <v>OK</v>
      </c>
    </row>
    <row r="11" spans="1:8">
      <c r="A11" s="2" t="s">
        <v>226</v>
      </c>
      <c r="B11" s="2" t="s">
        <v>227</v>
      </c>
      <c r="C11" s="2" t="s">
        <v>222</v>
      </c>
      <c r="D11" s="2" t="s">
        <v>228</v>
      </c>
      <c r="E11" s="2" t="s">
        <v>229</v>
      </c>
      <c r="F11" s="2" t="s">
        <v>61</v>
      </c>
      <c r="G11" s="2" t="s">
        <v>230</v>
      </c>
      <c r="H11" s="3" t="str">
        <f>IF(COUNTIF(RTM!I:I,"*"&amp;A11&amp;"*")&gt;0,"OK","НЕТ ТРЕБ.")</f>
        <v>OK</v>
      </c>
    </row>
    <row r="12" spans="1:8">
      <c r="A12" s="2" t="s">
        <v>231</v>
      </c>
      <c r="B12" s="2" t="s">
        <v>232</v>
      </c>
      <c r="C12" s="2" t="s">
        <v>233</v>
      </c>
      <c r="D12" s="2" t="s">
        <v>234</v>
      </c>
      <c r="E12" s="2" t="s">
        <v>235</v>
      </c>
      <c r="F12" s="2" t="s">
        <v>236</v>
      </c>
      <c r="G12" s="2" t="s">
        <v>155</v>
      </c>
      <c r="H12" s="3" t="str">
        <f>IF(COUNTIF(RTM!I:I,"*"&amp;A12&amp;"*")&gt;0,"OK","НЕТ ТРЕБ.")</f>
        <v>OK</v>
      </c>
    </row>
    <row r="13" spans="1:8">
      <c r="A13" s="2" t="s">
        <v>237</v>
      </c>
      <c r="B13" s="2" t="s">
        <v>238</v>
      </c>
      <c r="C13" s="2" t="s">
        <v>239</v>
      </c>
      <c r="D13" s="2" t="s">
        <v>240</v>
      </c>
      <c r="E13" s="2" t="s">
        <v>241</v>
      </c>
      <c r="F13" s="2" t="s">
        <v>46</v>
      </c>
      <c r="G13" s="2" t="s">
        <v>242</v>
      </c>
      <c r="H13" s="3" t="str">
        <f>IF(COUNTIF(RTM!I:I,"*"&amp;A13&amp;"*")&gt;0,"OK","НЕТ ТРЕБ.")</f>
        <v>OK</v>
      </c>
    </row>
    <row r="14" spans="1:8">
      <c r="A14" s="2" t="s">
        <v>55</v>
      </c>
      <c r="B14" s="2" t="s">
        <v>243</v>
      </c>
      <c r="C14" s="2" t="s">
        <v>244</v>
      </c>
      <c r="D14" s="2" t="s">
        <v>245</v>
      </c>
      <c r="E14" s="2" t="s">
        <v>246</v>
      </c>
      <c r="F14" s="2" t="s">
        <v>247</v>
      </c>
      <c r="G14" s="2" t="s">
        <v>54</v>
      </c>
      <c r="H14" s="3" t="str">
        <f>IF(COUNTIF(RTM!I:I,"*"&amp;A14&amp;"*")&gt;0,"OK","НЕТ ТРЕБ.")</f>
        <v>OK</v>
      </c>
    </row>
    <row r="15" spans="1:8">
      <c r="A15" s="2" t="s">
        <v>248</v>
      </c>
      <c r="B15" s="2" t="s">
        <v>249</v>
      </c>
      <c r="C15" s="2" t="s">
        <v>250</v>
      </c>
      <c r="D15" s="2" t="s">
        <v>251</v>
      </c>
      <c r="E15" s="2" t="s">
        <v>252</v>
      </c>
      <c r="F15" s="2" t="s">
        <v>253</v>
      </c>
      <c r="G15" s="2" t="s">
        <v>254</v>
      </c>
      <c r="H15" s="3" t="str">
        <f>IF(COUNTIF(RTM!I:I,"*"&amp;A15&amp;"*")&gt;0,"OK","НЕТ ТРЕБ.")</f>
        <v>OK</v>
      </c>
    </row>
    <row r="16" spans="1:8">
      <c r="A16" s="2" t="s">
        <v>255</v>
      </c>
      <c r="B16" s="2" t="s">
        <v>256</v>
      </c>
      <c r="C16" s="2" t="s">
        <v>257</v>
      </c>
      <c r="D16" s="2" t="s">
        <v>258</v>
      </c>
      <c r="E16" s="2" t="s">
        <v>259</v>
      </c>
      <c r="F16" s="2" t="s">
        <v>260</v>
      </c>
      <c r="G16" s="2" t="s">
        <v>261</v>
      </c>
      <c r="H16" s="3" t="str">
        <f>IF(COUNTIF(RTM!I:I,"*"&amp;A16&amp;"*")&gt;0,"OK","НЕТ ТРЕБ.")</f>
        <v>OK</v>
      </c>
    </row>
    <row r="17" spans="1:8">
      <c r="A17" s="2" t="s">
        <v>262</v>
      </c>
      <c r="B17" s="2" t="s">
        <v>263</v>
      </c>
      <c r="C17" s="2" t="s">
        <v>264</v>
      </c>
      <c r="D17" s="2" t="s">
        <v>228</v>
      </c>
      <c r="E17" s="2" t="s">
        <v>265</v>
      </c>
      <c r="F17" s="2" t="s">
        <v>68</v>
      </c>
      <c r="G17" s="2" t="s">
        <v>266</v>
      </c>
      <c r="H17" s="3" t="str">
        <f>IF(COUNTIF(RTM!I:I,"*"&amp;A17&amp;"*")&gt;0,"OK","НЕТ ТРЕБ.")</f>
        <v>OK</v>
      </c>
    </row>
    <row r="18" spans="1:8">
      <c r="A18" s="2" t="s">
        <v>267</v>
      </c>
      <c r="B18" s="2" t="s">
        <v>268</v>
      </c>
      <c r="C18" s="2" t="s">
        <v>269</v>
      </c>
      <c r="D18" s="2" t="s">
        <v>270</v>
      </c>
      <c r="E18" s="2" t="s">
        <v>271</v>
      </c>
      <c r="F18" s="2" t="s">
        <v>75</v>
      </c>
      <c r="G18" s="2" t="s">
        <v>272</v>
      </c>
      <c r="H18" s="3" t="str">
        <f>IF(COUNTIF(RTM!I:I,"*"&amp;A18&amp;"*")&gt;0,"OK","НЕТ ТРЕБ.")</f>
        <v>OK</v>
      </c>
    </row>
    <row r="19" spans="1:8">
      <c r="A19" s="2" t="s">
        <v>273</v>
      </c>
      <c r="B19" s="2" t="s">
        <v>274</v>
      </c>
      <c r="C19" s="2" t="s">
        <v>275</v>
      </c>
      <c r="D19" s="2" t="s">
        <v>276</v>
      </c>
      <c r="E19" s="2" t="s">
        <v>277</v>
      </c>
      <c r="F19" s="2" t="s">
        <v>75</v>
      </c>
      <c r="G19" s="2" t="s">
        <v>278</v>
      </c>
      <c r="H19" s="3" t="str">
        <f>IF(COUNTIF(RTM!I:I,"*"&amp;A19&amp;"*")&gt;0,"OK","НЕТ ТРЕБ.")</f>
        <v>OK</v>
      </c>
    </row>
    <row r="20" spans="1:8">
      <c r="A20" s="2" t="s">
        <v>279</v>
      </c>
      <c r="B20" s="2" t="s">
        <v>280</v>
      </c>
      <c r="C20" s="2" t="s">
        <v>281</v>
      </c>
      <c r="D20" s="2" t="s">
        <v>282</v>
      </c>
      <c r="E20" s="2" t="s">
        <v>283</v>
      </c>
      <c r="F20" s="2" t="s">
        <v>75</v>
      </c>
      <c r="G20" s="2" t="s">
        <v>284</v>
      </c>
      <c r="H20" s="3" t="str">
        <f>IF(COUNTIF(RTM!I:I,"*"&amp;A20&amp;"*")&gt;0,"OK","НЕТ ТРЕБ.")</f>
        <v>OK</v>
      </c>
    </row>
    <row r="21" spans="1:8">
      <c r="A21" s="2" t="s">
        <v>285</v>
      </c>
      <c r="B21" s="2" t="s">
        <v>286</v>
      </c>
      <c r="C21" s="2" t="s">
        <v>287</v>
      </c>
      <c r="D21" s="2" t="s">
        <v>288</v>
      </c>
      <c r="E21" s="2" t="s">
        <v>289</v>
      </c>
      <c r="F21" s="2" t="s">
        <v>290</v>
      </c>
      <c r="G21" s="2" t="s">
        <v>291</v>
      </c>
      <c r="H21" s="3" t="str">
        <f>IF(COUNTIF(RTM!I:I,"*"&amp;A21&amp;"*")&gt;0,"OK","НЕТ ТРЕБ.")</f>
        <v>OK</v>
      </c>
    </row>
    <row r="22" spans="1:8">
      <c r="A22" s="2" t="s">
        <v>292</v>
      </c>
      <c r="B22" s="2" t="s">
        <v>293</v>
      </c>
      <c r="C22" s="2" t="s">
        <v>287</v>
      </c>
      <c r="D22" s="2" t="s">
        <v>294</v>
      </c>
      <c r="E22" s="2" t="s">
        <v>295</v>
      </c>
      <c r="F22" s="2" t="s">
        <v>80</v>
      </c>
      <c r="G22" s="2" t="s">
        <v>296</v>
      </c>
      <c r="H22" s="3" t="str">
        <f>IF(COUNTIF(RTM!I:I,"*"&amp;A22&amp;"*")&gt;0,"OK","НЕТ ТРЕБ.")</f>
        <v>OK</v>
      </c>
    </row>
    <row r="23" spans="1:8">
      <c r="A23" s="2" t="s">
        <v>297</v>
      </c>
      <c r="B23" s="2" t="s">
        <v>298</v>
      </c>
      <c r="C23" s="2" t="s">
        <v>299</v>
      </c>
      <c r="D23" s="2" t="s">
        <v>300</v>
      </c>
      <c r="E23" s="2" t="s">
        <v>301</v>
      </c>
      <c r="F23" s="2" t="s">
        <v>87</v>
      </c>
      <c r="G23" s="2" t="s">
        <v>302</v>
      </c>
      <c r="H23" s="3" t="str">
        <f>IF(COUNTIF(RTM!I:I,"*"&amp;A23&amp;"*")&gt;0,"OK","НЕТ ТРЕБ.")</f>
        <v>OK</v>
      </c>
    </row>
    <row r="24" spans="1:8">
      <c r="A24" s="2" t="s">
        <v>98</v>
      </c>
      <c r="B24" s="2" t="s">
        <v>303</v>
      </c>
      <c r="C24" s="2" t="s">
        <v>304</v>
      </c>
      <c r="D24" s="2" t="s">
        <v>305</v>
      </c>
      <c r="E24" s="2" t="s">
        <v>306</v>
      </c>
      <c r="F24" s="2" t="s">
        <v>94</v>
      </c>
      <c r="G24" s="2" t="s">
        <v>97</v>
      </c>
      <c r="H24" s="3" t="str">
        <f>IF(COUNTIF(RTM!I:I,"*"&amp;A24&amp;"*")&gt;0,"OK","НЕТ ТРЕБ.")</f>
        <v>OK</v>
      </c>
    </row>
    <row r="25" spans="1:8">
      <c r="A25" s="2" t="s">
        <v>105</v>
      </c>
      <c r="B25" s="2" t="s">
        <v>307</v>
      </c>
      <c r="C25" s="2" t="s">
        <v>304</v>
      </c>
      <c r="D25" s="2" t="s">
        <v>308</v>
      </c>
      <c r="E25" s="2" t="s">
        <v>309</v>
      </c>
      <c r="F25" s="2" t="s">
        <v>99</v>
      </c>
      <c r="G25" s="2" t="s">
        <v>104</v>
      </c>
      <c r="H25" s="3" t="str">
        <f>IF(COUNTIF(RTM!I:I,"*"&amp;A25&amp;"*")&gt;0,"OK","НЕТ ТРЕБ.")</f>
        <v>OK</v>
      </c>
    </row>
    <row r="26" spans="1:8">
      <c r="A26" s="2" t="s">
        <v>111</v>
      </c>
      <c r="B26" s="2" t="s">
        <v>310</v>
      </c>
      <c r="C26" s="2" t="s">
        <v>311</v>
      </c>
      <c r="D26" s="2" t="s">
        <v>312</v>
      </c>
      <c r="E26" s="2" t="s">
        <v>313</v>
      </c>
      <c r="F26" s="2" t="s">
        <v>314</v>
      </c>
      <c r="G26" s="2" t="s">
        <v>110</v>
      </c>
      <c r="H26" s="3" t="str">
        <f>IF(COUNTIF(RTM!I:I,"*"&amp;A26&amp;"*")&gt;0,"OK","НЕТ ТРЕБ.")</f>
        <v>OK</v>
      </c>
    </row>
    <row r="27" spans="1:8">
      <c r="A27" s="2" t="s">
        <v>116</v>
      </c>
      <c r="B27" s="2" t="s">
        <v>315</v>
      </c>
      <c r="C27" s="2" t="s">
        <v>316</v>
      </c>
      <c r="D27" s="2" t="s">
        <v>317</v>
      </c>
      <c r="E27" s="2" t="s">
        <v>318</v>
      </c>
      <c r="F27" s="2" t="s">
        <v>112</v>
      </c>
      <c r="G27" s="2" t="s">
        <v>115</v>
      </c>
      <c r="H27" s="3" t="str">
        <f>IF(COUNTIF(RTM!I:I,"*"&amp;A27&amp;"*")&gt;0,"OK","НЕТ ТРЕБ.")</f>
        <v>OK</v>
      </c>
    </row>
    <row r="28" spans="1:8">
      <c r="A28" s="2" t="s">
        <v>121</v>
      </c>
      <c r="B28" s="2" t="s">
        <v>319</v>
      </c>
      <c r="C28" s="2" t="s">
        <v>320</v>
      </c>
      <c r="D28" s="2" t="s">
        <v>321</v>
      </c>
      <c r="E28" s="2" t="s">
        <v>322</v>
      </c>
      <c r="F28" s="2" t="s">
        <v>323</v>
      </c>
      <c r="G28" s="2" t="s">
        <v>120</v>
      </c>
      <c r="H28" s="3" t="str">
        <f>IF(COUNTIF(RTM!I:I,"*"&amp;A28&amp;"*")&gt;0,"OK","НЕТ ТРЕБ.")</f>
        <v>OK</v>
      </c>
    </row>
    <row r="29" spans="1:8">
      <c r="A29" s="2" t="s">
        <v>324</v>
      </c>
      <c r="B29" s="2" t="s">
        <v>325</v>
      </c>
      <c r="C29" s="2" t="s">
        <v>326</v>
      </c>
      <c r="D29" s="2" t="s">
        <v>327</v>
      </c>
      <c r="E29" s="2" t="s">
        <v>328</v>
      </c>
      <c r="F29" s="2" t="s">
        <v>122</v>
      </c>
      <c r="G29" s="2" t="s">
        <v>124</v>
      </c>
      <c r="H29" s="3" t="str">
        <f>IF(COUNTIF(RTM!I:I,"*"&amp;A29&amp;"*")&gt;0,"OK","НЕТ ТРЕБ.")</f>
        <v>OK</v>
      </c>
    </row>
    <row r="30" spans="1:8">
      <c r="A30" s="2" t="s">
        <v>131</v>
      </c>
      <c r="B30" s="2" t="s">
        <v>329</v>
      </c>
      <c r="C30" s="2" t="s">
        <v>330</v>
      </c>
      <c r="D30" s="2" t="s">
        <v>331</v>
      </c>
      <c r="E30" s="2" t="s">
        <v>332</v>
      </c>
      <c r="F30" s="2" t="s">
        <v>126</v>
      </c>
      <c r="G30" s="2" t="s">
        <v>129</v>
      </c>
      <c r="H30" s="3" t="str">
        <f>IF(COUNTIF(RTM!I:I,"*"&amp;A30&amp;"*")&gt;0,"OK","НЕТ ТРЕБ.")</f>
        <v>OK</v>
      </c>
    </row>
    <row r="31" spans="1:8">
      <c r="A31" s="2" t="s">
        <v>137</v>
      </c>
      <c r="B31" s="2" t="s">
        <v>333</v>
      </c>
      <c r="C31" s="2" t="s">
        <v>334</v>
      </c>
      <c r="D31" s="2" t="s">
        <v>335</v>
      </c>
      <c r="E31" s="2" t="s">
        <v>336</v>
      </c>
      <c r="F31" s="2" t="s">
        <v>132</v>
      </c>
      <c r="G31" s="2" t="s">
        <v>129</v>
      </c>
      <c r="H31" s="3" t="str">
        <f>IF(COUNTIF(RTM!I:I,"*"&amp;A31&amp;"*")&gt;0,"OK","НЕТ ТРЕБ.")</f>
        <v>OK</v>
      </c>
    </row>
    <row r="32" spans="1:8">
      <c r="A32" s="2" t="s">
        <v>142</v>
      </c>
      <c r="B32" s="2" t="s">
        <v>337</v>
      </c>
      <c r="C32" s="2" t="s">
        <v>338</v>
      </c>
      <c r="D32" s="2" t="s">
        <v>339</v>
      </c>
      <c r="E32" s="2" t="s">
        <v>340</v>
      </c>
      <c r="F32" s="2" t="s">
        <v>138</v>
      </c>
      <c r="G32" s="2" t="s">
        <v>129</v>
      </c>
      <c r="H32" s="3" t="str">
        <f>IF(COUNTIF(RTM!I:I,"*"&amp;A32&amp;"*")&gt;0,"OK","НЕТ ТРЕБ.")</f>
        <v>OK</v>
      </c>
    </row>
    <row r="33" spans="1:8">
      <c r="A33" s="2" t="s">
        <v>145</v>
      </c>
      <c r="B33" s="2" t="s">
        <v>341</v>
      </c>
      <c r="C33" s="2" t="s">
        <v>342</v>
      </c>
      <c r="D33" s="2" t="s">
        <v>343</v>
      </c>
      <c r="E33" s="2" t="s">
        <v>344</v>
      </c>
      <c r="F33" s="2" t="s">
        <v>143</v>
      </c>
      <c r="G33" s="2" t="s">
        <v>129</v>
      </c>
      <c r="H33" s="3" t="str">
        <f>IF(COUNTIF(RTM!I:I,"*"&amp;A33&amp;"*")&gt;0,"OK","НЕТ ТРЕБ.")</f>
        <v>OK</v>
      </c>
    </row>
    <row r="34" spans="1:8">
      <c r="A34" s="2" t="s">
        <v>149</v>
      </c>
      <c r="B34" s="2" t="s">
        <v>345</v>
      </c>
      <c r="C34" s="2" t="s">
        <v>346</v>
      </c>
      <c r="D34" s="2" t="s">
        <v>347</v>
      </c>
      <c r="E34" s="2" t="s">
        <v>348</v>
      </c>
      <c r="F34" s="2" t="s">
        <v>349</v>
      </c>
      <c r="G34" s="2" t="s">
        <v>148</v>
      </c>
      <c r="H34" s="3" t="str">
        <f>IF(COUNTIF(RTM!I:I,"*"&amp;A34&amp;"*")&gt;0,"OK","НЕТ ТРЕБ.")</f>
        <v>OK</v>
      </c>
    </row>
    <row r="35" spans="1:8">
      <c r="A35" s="2" t="s">
        <v>156</v>
      </c>
      <c r="B35" s="2" t="s">
        <v>350</v>
      </c>
      <c r="C35" s="2" t="s">
        <v>351</v>
      </c>
      <c r="D35" s="2" t="s">
        <v>352</v>
      </c>
      <c r="E35" s="2" t="s">
        <v>353</v>
      </c>
      <c r="F35" s="2" t="s">
        <v>354</v>
      </c>
      <c r="G35" s="2" t="s">
        <v>155</v>
      </c>
      <c r="H35" s="3" t="str">
        <f>IF(COUNTIF(RTM!I:I,"*"&amp;A35&amp;"*")&gt;0,"OK","НЕТ ТРЕБ.")</f>
        <v>OK</v>
      </c>
    </row>
    <row r="36" spans="1:8">
      <c r="A36" s="2" t="s">
        <v>159</v>
      </c>
      <c r="B36" s="2" t="s">
        <v>355</v>
      </c>
      <c r="C36" s="2" t="s">
        <v>356</v>
      </c>
      <c r="D36" s="2" t="s">
        <v>352</v>
      </c>
      <c r="E36" s="2" t="s">
        <v>357</v>
      </c>
      <c r="F36" s="2" t="s">
        <v>358</v>
      </c>
      <c r="G36" s="2" t="s">
        <v>85</v>
      </c>
      <c r="H36" s="3" t="str">
        <f>IF(COUNTIF(RTM!I:I,"*"&amp;A36&amp;"*")&gt;0,"OK","НЕТ ТРЕБ.")</f>
        <v>OK</v>
      </c>
    </row>
    <row r="37" spans="1:8">
      <c r="A37" s="2" t="s">
        <v>162</v>
      </c>
      <c r="B37" s="2" t="s">
        <v>359</v>
      </c>
      <c r="C37" s="2" t="s">
        <v>360</v>
      </c>
      <c r="D37" s="2" t="s">
        <v>361</v>
      </c>
      <c r="E37" s="2" t="s">
        <v>362</v>
      </c>
      <c r="F37" s="2" t="s">
        <v>160</v>
      </c>
      <c r="G37" s="2" t="s">
        <v>129</v>
      </c>
      <c r="H37" s="3" t="str">
        <f>IF(COUNTIF(RTM!I:I,"*"&amp;A37&amp;"*")&gt;0,"OK","НЕТ ТРЕБ.")</f>
        <v>OK</v>
      </c>
    </row>
    <row r="38" spans="1:8">
      <c r="A38" s="2" t="s">
        <v>166</v>
      </c>
      <c r="B38" s="2" t="s">
        <v>363</v>
      </c>
      <c r="C38" s="2" t="s">
        <v>364</v>
      </c>
      <c r="D38" s="2" t="s">
        <v>365</v>
      </c>
      <c r="E38" s="2" t="s">
        <v>366</v>
      </c>
      <c r="F38" s="2" t="s">
        <v>163</v>
      </c>
      <c r="G38" s="2" t="s">
        <v>129</v>
      </c>
      <c r="H38" s="3" t="str">
        <f>IF(COUNTIF(RTM!I:I,"*"&amp;A38&amp;"*")&gt;0,"OK","НЕТ ТРЕБ.")</f>
        <v>OK</v>
      </c>
    </row>
    <row r="39" spans="1:8">
      <c r="A39" s="2" t="s">
        <v>170</v>
      </c>
      <c r="B39" s="2" t="s">
        <v>367</v>
      </c>
      <c r="C39" s="2" t="s">
        <v>368</v>
      </c>
      <c r="D39" s="2" t="s">
        <v>369</v>
      </c>
      <c r="E39" s="2" t="s">
        <v>370</v>
      </c>
      <c r="F39" s="2" t="s">
        <v>167</v>
      </c>
      <c r="G39" s="2" t="s">
        <v>129</v>
      </c>
      <c r="H39" s="3" t="str">
        <f>IF(COUNTIF(RTM!I:I,"*"&amp;A39&amp;"*")&gt;0,"OK","НЕТ ТРЕБ.")</f>
        <v>OK</v>
      </c>
    </row>
  </sheetData>
  <autoFilter ref="A1:H3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44.7109375" customWidth="1"/>
    <col min="3" max="3" width="12.7109375" customWidth="1"/>
    <col min="4" max="4" width="26.7109375" customWidth="1"/>
    <col min="5" max="5" width="40.7109375" customWidth="1"/>
    <col min="6" max="6" width="10.7109375" customWidth="1"/>
  </cols>
  <sheetData>
    <row r="1" spans="1:6">
      <c r="A1" s="1" t="s">
        <v>371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10</v>
      </c>
    </row>
    <row r="2" spans="1:6">
      <c r="A2" s="2" t="s">
        <v>65</v>
      </c>
      <c r="B2" s="2" t="s">
        <v>376</v>
      </c>
      <c r="C2" s="2" t="s">
        <v>15</v>
      </c>
      <c r="D2" s="2" t="s">
        <v>66</v>
      </c>
      <c r="E2" s="2" t="s">
        <v>218</v>
      </c>
      <c r="F2" s="3" t="str">
        <f>IF(COUNTIF(RTM!G:G,"*"&amp;A2&amp;"*")&gt;0,"OK","НЕТ ТРЕБ.")</f>
        <v>OK</v>
      </c>
    </row>
    <row r="3" spans="1:6">
      <c r="A3" s="2" t="s">
        <v>72</v>
      </c>
      <c r="B3" s="2" t="s">
        <v>377</v>
      </c>
      <c r="C3" s="2" t="s">
        <v>15</v>
      </c>
      <c r="D3" s="2" t="s">
        <v>73</v>
      </c>
      <c r="E3" s="2" t="s">
        <v>378</v>
      </c>
      <c r="F3" s="3" t="str">
        <f>IF(COUNTIF(RTM!G:G,"*"&amp;A3&amp;"*")&gt;0,"OK","НЕТ ТРЕБ.")</f>
        <v>OK</v>
      </c>
    </row>
    <row r="4" spans="1:6">
      <c r="A4" s="2" t="s">
        <v>17</v>
      </c>
      <c r="B4" s="2" t="s">
        <v>379</v>
      </c>
      <c r="C4" s="2" t="s">
        <v>15</v>
      </c>
      <c r="D4" s="2" t="s">
        <v>39</v>
      </c>
      <c r="E4" s="2" t="s">
        <v>380</v>
      </c>
      <c r="F4" s="3" t="str">
        <f>IF(COUNTIF(RTM!G:G,"*"&amp;A4&amp;"*")&gt;0,"OK","НЕТ ТРЕБ.")</f>
        <v>OK</v>
      </c>
    </row>
    <row r="5" spans="1:6">
      <c r="A5" s="2" t="s">
        <v>48</v>
      </c>
      <c r="B5" s="2" t="s">
        <v>381</v>
      </c>
      <c r="C5" s="2" t="s">
        <v>23</v>
      </c>
      <c r="D5" s="2" t="s">
        <v>49</v>
      </c>
      <c r="E5" s="2" t="s">
        <v>382</v>
      </c>
      <c r="F5" s="3" t="str">
        <f>IF(COUNTIF(RTM!G:G,"*"&amp;A5&amp;"*")&gt;0,"OK","НЕТ ТРЕБ.")</f>
        <v>OK</v>
      </c>
    </row>
    <row r="6" spans="1:6">
      <c r="A6" s="2" t="s">
        <v>77</v>
      </c>
      <c r="B6" s="2" t="s">
        <v>383</v>
      </c>
      <c r="C6" s="2" t="s">
        <v>23</v>
      </c>
      <c r="D6" s="2" t="s">
        <v>78</v>
      </c>
      <c r="E6" s="2" t="s">
        <v>75</v>
      </c>
      <c r="F6" s="3" t="str">
        <f>IF(COUNTIF(RTM!G:G,"*"&amp;A6&amp;"*")&gt;0,"OK","НЕТ ТРЕБ.")</f>
        <v>OK</v>
      </c>
    </row>
    <row r="7" spans="1:6">
      <c r="A7" s="2" t="s">
        <v>53</v>
      </c>
      <c r="B7" s="2" t="s">
        <v>384</v>
      </c>
      <c r="C7" s="2" t="s">
        <v>23</v>
      </c>
      <c r="D7" s="2" t="s">
        <v>54</v>
      </c>
      <c r="E7" s="2" t="s">
        <v>51</v>
      </c>
      <c r="F7" s="3" t="str">
        <f>IF(COUNTIF(RTM!G:G,"*"&amp;A7&amp;"*")&gt;0,"OK","НЕТ ТРЕБ.")</f>
        <v>OK</v>
      </c>
    </row>
    <row r="8" spans="1:6">
      <c r="A8" s="2" t="s">
        <v>58</v>
      </c>
      <c r="B8" s="2" t="s">
        <v>385</v>
      </c>
      <c r="C8" s="2" t="s">
        <v>23</v>
      </c>
      <c r="D8" s="2" t="s">
        <v>59</v>
      </c>
      <c r="E8" s="2" t="s">
        <v>386</v>
      </c>
      <c r="F8" s="3" t="str">
        <f>IF(COUNTIF(RTM!G:G,"*"&amp;A8&amp;"*")&gt;0,"OK","НЕТ ТРЕБ.")</f>
        <v>OK</v>
      </c>
    </row>
    <row r="9" spans="1:6">
      <c r="A9" s="2" t="s">
        <v>30</v>
      </c>
      <c r="B9" s="2" t="s">
        <v>387</v>
      </c>
      <c r="C9" s="2" t="s">
        <v>15</v>
      </c>
      <c r="D9" s="2" t="s">
        <v>31</v>
      </c>
      <c r="E9" s="2" t="s">
        <v>28</v>
      </c>
      <c r="F9" s="3" t="str">
        <f>IF(COUNTIF(RTM!G:G,"*"&amp;A9&amp;"*")&gt;0,"OK","НЕТ ТРЕБ.")</f>
        <v>OK</v>
      </c>
    </row>
    <row r="10" spans="1:6">
      <c r="A10" s="2" t="s">
        <v>25</v>
      </c>
      <c r="B10" s="2" t="s">
        <v>388</v>
      </c>
      <c r="C10" s="2" t="s">
        <v>23</v>
      </c>
      <c r="D10" s="2" t="s">
        <v>26</v>
      </c>
      <c r="E10" s="2" t="s">
        <v>389</v>
      </c>
      <c r="F10" s="3" t="str">
        <f>IF(COUNTIF(RTM!G:G,"*"&amp;A10&amp;"*")&gt;0,"OK","НЕТ ТРЕБ.")</f>
        <v>OK</v>
      </c>
    </row>
    <row r="11" spans="1:6">
      <c r="A11" s="2" t="s">
        <v>103</v>
      </c>
      <c r="B11" s="2" t="s">
        <v>390</v>
      </c>
      <c r="C11" s="2" t="s">
        <v>82</v>
      </c>
      <c r="D11" s="2" t="s">
        <v>104</v>
      </c>
      <c r="E11" s="2" t="s">
        <v>99</v>
      </c>
      <c r="F11" s="3" t="str">
        <f>IF(COUNTIF(RTM!G:G,"*"&amp;A11&amp;"*")&gt;0,"OK","НЕТ ТРЕБ.")</f>
        <v>OK</v>
      </c>
    </row>
    <row r="12" spans="1:6">
      <c r="A12" s="2" t="s">
        <v>84</v>
      </c>
      <c r="B12" s="2" t="s">
        <v>391</v>
      </c>
      <c r="C12" s="2" t="s">
        <v>82</v>
      </c>
      <c r="D12" s="2" t="s">
        <v>85</v>
      </c>
      <c r="E12" s="2" t="s">
        <v>392</v>
      </c>
      <c r="F12" s="3" t="str">
        <f>IF(COUNTIF(RTM!G:G,"*"&amp;A12&amp;"*")&gt;0,"OK","НЕТ ТРЕБ.")</f>
        <v>OK</v>
      </c>
    </row>
    <row r="13" spans="1:6">
      <c r="A13" s="2" t="s">
        <v>393</v>
      </c>
      <c r="B13" s="2" t="s">
        <v>394</v>
      </c>
      <c r="C13" s="2" t="s">
        <v>23</v>
      </c>
      <c r="D13" s="2" t="s">
        <v>302</v>
      </c>
      <c r="E13" s="2" t="s">
        <v>87</v>
      </c>
      <c r="F13" s="3" t="str">
        <f>IF(COUNTIF(RTM!G:G,"*"&amp;A13&amp;"*")&gt;0,"OK","НЕТ ТРЕБ.")</f>
        <v>OK</v>
      </c>
    </row>
    <row r="14" spans="1:6">
      <c r="A14" s="2" t="s">
        <v>96</v>
      </c>
      <c r="B14" s="2" t="s">
        <v>395</v>
      </c>
      <c r="C14" s="2" t="s">
        <v>82</v>
      </c>
      <c r="D14" s="2" t="s">
        <v>97</v>
      </c>
      <c r="E14" s="2" t="s">
        <v>94</v>
      </c>
      <c r="F14" s="3" t="str">
        <f>IF(COUNTIF(RTM!G:G,"*"&amp;A14&amp;"*")&gt;0,"OK","НЕТ ТРЕБ.")</f>
        <v>OK</v>
      </c>
    </row>
    <row r="15" spans="1:6">
      <c r="A15" s="2" t="s">
        <v>109</v>
      </c>
      <c r="B15" s="2" t="s">
        <v>396</v>
      </c>
      <c r="C15" s="2" t="s">
        <v>23</v>
      </c>
      <c r="D15" s="2" t="s">
        <v>110</v>
      </c>
      <c r="E15" s="2" t="s">
        <v>314</v>
      </c>
      <c r="F15" s="3" t="str">
        <f>IF(COUNTIF(RTM!G:G,"*"&amp;A15&amp;"*")&gt;0,"OK","НЕТ ТРЕБ.")</f>
        <v>OK</v>
      </c>
    </row>
    <row r="16" spans="1:6">
      <c r="A16" s="2" t="s">
        <v>397</v>
      </c>
      <c r="B16" s="2" t="s">
        <v>398</v>
      </c>
      <c r="C16" s="2" t="s">
        <v>23</v>
      </c>
      <c r="D16" s="2" t="s">
        <v>399</v>
      </c>
      <c r="E16" s="2" t="s">
        <v>112</v>
      </c>
      <c r="F16" s="3" t="str">
        <f>IF(COUNTIF(RTM!G:G,"*"&amp;A16&amp;"*")&gt;0,"OK","НЕТ ТРЕБ.")</f>
        <v>OK</v>
      </c>
    </row>
    <row r="17" spans="1:6">
      <c r="A17" s="2" t="s">
        <v>400</v>
      </c>
      <c r="B17" s="2" t="s">
        <v>401</v>
      </c>
      <c r="C17" s="2" t="s">
        <v>23</v>
      </c>
      <c r="D17" s="2" t="s">
        <v>402</v>
      </c>
      <c r="E17" s="2" t="s">
        <v>112</v>
      </c>
      <c r="F17" s="3" t="str">
        <f>IF(COUNTIF(RTM!G:G,"*"&amp;A17&amp;"*")&gt;0,"OK","НЕТ ТРЕБ.")</f>
        <v>OK</v>
      </c>
    </row>
    <row r="18" spans="1:6">
      <c r="A18" s="2" t="s">
        <v>119</v>
      </c>
      <c r="B18" s="2" t="s">
        <v>403</v>
      </c>
      <c r="C18" s="2" t="s">
        <v>23</v>
      </c>
      <c r="D18" s="2" t="s">
        <v>120</v>
      </c>
      <c r="E18" s="2" t="s">
        <v>323</v>
      </c>
      <c r="F18" s="3" t="str">
        <f>IF(COUNTIF(RTM!G:G,"*"&amp;A18&amp;"*")&gt;0,"OK","НЕТ ТРЕБ.")</f>
        <v>OK</v>
      </c>
    </row>
  </sheetData>
  <autoFilter ref="A1:F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.7109375" customWidth="1"/>
    <col min="2" max="2" width="70.7109375" customWidth="1"/>
    <col min="3" max="3" width="14.7109375" customWidth="1"/>
    <col min="4" max="4" width="12.7109375" customWidth="1"/>
  </cols>
  <sheetData>
    <row r="1" spans="1:4">
      <c r="A1" s="1" t="s">
        <v>404</v>
      </c>
      <c r="B1" s="1" t="s">
        <v>405</v>
      </c>
      <c r="C1" s="1" t="s">
        <v>406</v>
      </c>
      <c r="D1" s="1" t="s">
        <v>10</v>
      </c>
    </row>
    <row r="2" spans="1:4">
      <c r="A2" s="2" t="s">
        <v>15</v>
      </c>
      <c r="B2" s="2" t="s">
        <v>407</v>
      </c>
      <c r="C2" s="2">
        <f>COUNTIF(RTM!E:E,"*"&amp;A2&amp;"*")</f>
        <v>7</v>
      </c>
      <c r="D2" s="3" t="str">
        <f>IF(C2&gt;0,"Закрыта","НЕ ЗАКРЫТА")</f>
        <v>Закрыта</v>
      </c>
    </row>
    <row r="3" spans="1:4">
      <c r="A3" s="2" t="s">
        <v>82</v>
      </c>
      <c r="B3" s="2" t="s">
        <v>408</v>
      </c>
      <c r="C3" s="2">
        <f>COUNTIF(RTM!E:E,"*"&amp;A3&amp;"*")</f>
        <v>6</v>
      </c>
      <c r="D3" s="3" t="str">
        <f>IF(C3&gt;0,"Закрыта","НЕ ЗАКРЫТА")</f>
        <v>Закрыта</v>
      </c>
    </row>
    <row r="4" spans="1:4">
      <c r="A4" s="2" t="s">
        <v>23</v>
      </c>
      <c r="B4" s="2" t="s">
        <v>409</v>
      </c>
      <c r="C4" s="2">
        <f>COUNTIF(RTM!E:E,"*"&amp;A4&amp;"*")</f>
        <v>17</v>
      </c>
      <c r="D4" s="3" t="str">
        <f>IF(C4&gt;0,"Закрыта","НЕ ЗАКРЫТА")</f>
        <v>Закрыта</v>
      </c>
    </row>
    <row r="5" spans="1:4">
      <c r="A5" s="2" t="s">
        <v>128</v>
      </c>
      <c r="B5" s="2" t="s">
        <v>410</v>
      </c>
      <c r="C5" s="2">
        <f>COUNTIF(RTM!E:E,"*"&amp;A5&amp;"*")</f>
        <v>9</v>
      </c>
      <c r="D5" s="3" t="str">
        <f>IF(C5&gt;0,"Закрыта","НЕ ЗАКРЫТА")</f>
        <v>Закрыта</v>
      </c>
    </row>
  </sheetData>
  <autoFilter ref="A1:D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40.7109375" customWidth="1"/>
    <col min="4" max="4" width="22.7109375" customWidth="1"/>
    <col min="5" max="5" width="10.7109375" customWidth="1"/>
    <col min="6" max="6" width="60.7109375" customWidth="1"/>
    <col min="7" max="7" width="14.7109375" customWidth="1"/>
    <col min="8" max="8" width="12.7109375" customWidth="1"/>
  </cols>
  <sheetData>
    <row r="1" spans="1:8">
      <c r="A1" s="1" t="s">
        <v>404</v>
      </c>
      <c r="B1" s="1" t="s">
        <v>1</v>
      </c>
      <c r="C1" s="1" t="s">
        <v>411</v>
      </c>
      <c r="D1" s="1" t="s">
        <v>412</v>
      </c>
      <c r="E1" s="1" t="s">
        <v>373</v>
      </c>
      <c r="F1" s="1" t="s">
        <v>413</v>
      </c>
      <c r="G1" s="1" t="s">
        <v>406</v>
      </c>
      <c r="H1" s="1" t="s">
        <v>10</v>
      </c>
    </row>
    <row r="2" spans="1:8">
      <c r="A2" s="2" t="s">
        <v>16</v>
      </c>
      <c r="B2" s="2" t="s">
        <v>414</v>
      </c>
      <c r="C2" s="2" t="s">
        <v>415</v>
      </c>
      <c r="D2" s="2" t="s">
        <v>416</v>
      </c>
      <c r="E2" s="2" t="s">
        <v>15</v>
      </c>
      <c r="F2" s="2" t="s">
        <v>417</v>
      </c>
      <c r="G2" s="2">
        <f>COUNTIF(RTM!F:F,"*"&amp;A2&amp;"*")</f>
        <v>7</v>
      </c>
      <c r="H2" s="3" t="str">
        <f>IF(G2&gt;0,"Покрыта","НЕ ПОКРЫТА")</f>
        <v>Покрыта</v>
      </c>
    </row>
    <row r="3" spans="1:8">
      <c r="A3" s="2" t="s">
        <v>418</v>
      </c>
      <c r="B3" s="2" t="s">
        <v>419</v>
      </c>
      <c r="C3" s="2" t="s">
        <v>420</v>
      </c>
      <c r="D3" s="2" t="s">
        <v>421</v>
      </c>
      <c r="E3" s="2" t="s">
        <v>15</v>
      </c>
      <c r="F3" s="2" t="s">
        <v>422</v>
      </c>
      <c r="G3" s="2">
        <f>COUNTIF(RTM!F:F,"*"&amp;A3&amp;"*")</f>
        <v>5</v>
      </c>
      <c r="H3" s="3" t="str">
        <f>IF(G3&gt;0,"Покрыта","НЕ ПОКРЫТА")</f>
        <v>Покрыта</v>
      </c>
    </row>
    <row r="4" spans="1:8">
      <c r="A4" s="2" t="s">
        <v>83</v>
      </c>
      <c r="B4" s="2" t="s">
        <v>419</v>
      </c>
      <c r="C4" s="2" t="s">
        <v>423</v>
      </c>
      <c r="D4" s="2" t="s">
        <v>424</v>
      </c>
      <c r="E4" s="2" t="s">
        <v>82</v>
      </c>
      <c r="F4" s="2" t="s">
        <v>425</v>
      </c>
      <c r="G4" s="2">
        <f>COUNTIF(RTM!F:F,"*"&amp;A4&amp;"*")</f>
        <v>6</v>
      </c>
      <c r="H4" s="3" t="str">
        <f>IF(G4&gt;0,"Покрыта","НЕ ПОКРЫТА")</f>
        <v>Покрыта</v>
      </c>
    </row>
    <row r="5" spans="1:8">
      <c r="A5" s="2" t="s">
        <v>24</v>
      </c>
      <c r="B5" s="2" t="s">
        <v>426</v>
      </c>
      <c r="C5" s="2" t="s">
        <v>427</v>
      </c>
      <c r="D5" s="2" t="s">
        <v>428</v>
      </c>
      <c r="E5" s="2" t="s">
        <v>23</v>
      </c>
      <c r="F5" s="2" t="s">
        <v>429</v>
      </c>
      <c r="G5" s="2">
        <f>COUNTIF(RTM!F:F,"*"&amp;A5&amp;"*")</f>
        <v>10</v>
      </c>
      <c r="H5" s="3" t="str">
        <f>IF(G5&gt;0,"Покрыта","НЕ ПОКРЫТА")</f>
        <v>Покрыта</v>
      </c>
    </row>
    <row r="6" spans="1:8">
      <c r="A6" s="2" t="s">
        <v>108</v>
      </c>
      <c r="B6" s="2" t="s">
        <v>426</v>
      </c>
      <c r="C6" s="2" t="s">
        <v>430</v>
      </c>
      <c r="D6" s="2" t="s">
        <v>431</v>
      </c>
      <c r="E6" s="2" t="s">
        <v>23</v>
      </c>
      <c r="F6" s="2" t="s">
        <v>432</v>
      </c>
      <c r="G6" s="2">
        <f>COUNTIF(RTM!F:F,"*"&amp;A6&amp;"*")</f>
        <v>8</v>
      </c>
      <c r="H6" s="3" t="str">
        <f>IF(G6&gt;0,"Покрыта","НЕ ПОКРЫТА")</f>
        <v>Покрыта</v>
      </c>
    </row>
    <row r="7" spans="1:8">
      <c r="A7" s="2" t="s">
        <v>433</v>
      </c>
      <c r="B7" s="2" t="s">
        <v>426</v>
      </c>
      <c r="C7" s="2" t="s">
        <v>434</v>
      </c>
      <c r="D7" s="2" t="s">
        <v>421</v>
      </c>
      <c r="E7" s="2" t="s">
        <v>128</v>
      </c>
      <c r="F7" s="2" t="s">
        <v>435</v>
      </c>
      <c r="G7" s="2">
        <f>COUNTIF(RTM!F:F,"*"&amp;A7&amp;"*")</f>
        <v>4</v>
      </c>
      <c r="H7" s="3" t="str">
        <f>IF(G7&gt;0,"Покрыта","НЕ ПОКРЫТА")</f>
        <v>Покрыта</v>
      </c>
    </row>
    <row r="8" spans="1:8">
      <c r="A8" s="2" t="s">
        <v>141</v>
      </c>
      <c r="B8" s="2" t="s">
        <v>426</v>
      </c>
      <c r="C8" s="2" t="s">
        <v>436</v>
      </c>
      <c r="D8" s="2" t="s">
        <v>437</v>
      </c>
      <c r="E8" s="2" t="s">
        <v>128</v>
      </c>
      <c r="F8" s="2" t="s">
        <v>438</v>
      </c>
      <c r="G8" s="2">
        <f>COUNTIF(RTM!F:F,"*"&amp;A8&amp;"*")</f>
        <v>4</v>
      </c>
      <c r="H8" s="3" t="str">
        <f>IF(G8&gt;0,"Покрыта","НЕ ПОКРЫТА")</f>
        <v>Покрыта</v>
      </c>
    </row>
  </sheetData>
  <autoFilter ref="A1:H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60.7109375" customWidth="1"/>
    <col min="2" max="2" width="12.7109375" customWidth="1"/>
  </cols>
  <sheetData>
    <row r="1" spans="1:2">
      <c r="A1" s="1" t="s">
        <v>10</v>
      </c>
      <c r="B1" s="1" t="s">
        <v>439</v>
      </c>
    </row>
    <row r="2" spans="1:2">
      <c r="A2" s="2" t="s">
        <v>440</v>
      </c>
      <c r="B2" s="2">
        <f>COUNTA(RTM!A2:A32)</f>
        <v>31</v>
      </c>
    </row>
    <row r="3" spans="1:2">
      <c r="A3" s="2" t="s">
        <v>441</v>
      </c>
      <c r="B3" s="2">
        <f>COUNTIF(RTM!K2:K32,"СИРОТА")</f>
        <v>0</v>
      </c>
    </row>
    <row r="4" spans="1:2">
      <c r="A4" s="2" t="s">
        <v>442</v>
      </c>
      <c r="B4" s="2">
        <f>COUNTA('Тест-кейсы'!A2:A39)</f>
        <v>38</v>
      </c>
    </row>
    <row r="5" spans="1:2">
      <c r="A5" s="2" t="s">
        <v>443</v>
      </c>
      <c r="B5" s="2">
        <f>COUNTIF('Тест-кейсы'!H2:H39,"НЕТ ТРЕБ.")</f>
        <v>0</v>
      </c>
    </row>
    <row r="6" spans="1:2">
      <c r="A6" s="2" t="s">
        <v>444</v>
      </c>
      <c r="B6" s="2">
        <f>COUNTA('US → SRS'!A2:A18)</f>
        <v>17</v>
      </c>
    </row>
    <row r="7" spans="1:2">
      <c r="A7" s="2" t="s">
        <v>445</v>
      </c>
      <c r="B7" s="2">
        <f>COUNTIF('US → SRS'!F2:F18,"НЕТ ТРЕБ.")</f>
        <v>0</v>
      </c>
    </row>
    <row r="8" spans="1:2">
      <c r="A8" s="2" t="s">
        <v>446</v>
      </c>
      <c r="B8" s="2">
        <f>COUNTIF('Бизнес-цели'!D2:D5,"НЕ ЗАКРЫТА")</f>
        <v>0</v>
      </c>
    </row>
    <row r="9" spans="1:2">
      <c r="A9" s="2" t="s">
        <v>447</v>
      </c>
      <c r="B9" s="2">
        <f>COUNTIF('Метрики'!H2:H8,"НЕ ПОКРЫТА")</f>
        <v>0</v>
      </c>
    </row>
    <row r="11" spans="1:2">
      <c r="A11" t="s">
        <v>448</v>
      </c>
    </row>
    <row r="12" spans="1:2">
      <c r="A12" t="s">
        <v>449</v>
      </c>
    </row>
    <row r="13" spans="1:2">
      <c r="A13" t="s">
        <v>450</v>
      </c>
    </row>
    <row r="14" spans="1:2">
      <c r="A14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RTM</vt:lpstr>
      <vt:lpstr>Тест-кейсы</vt:lpstr>
      <vt:lpstr>US → SRS</vt:lpstr>
      <vt:lpstr>Бизнес-цели</vt:lpstr>
      <vt:lpstr>Метрики</vt:lpstr>
      <vt:lpstr>Полнота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2026-10-01T10:51:42Z</dcterms:created>
  <dcterms:modified xsi:type="dcterms:W3CDTF">2026-10-01T10:51:42Z</dcterms:modified>
</cp:coreProperties>
</file>